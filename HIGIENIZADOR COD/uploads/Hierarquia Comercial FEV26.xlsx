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updateLinks="always" codeName="EstaPastaDeTrabalho"/>
  <mc:AlternateContent xmlns:mc="http://schemas.openxmlformats.org/markup-compatibility/2006">
    <mc:Choice Requires="x15">
      <x15ac:absPath xmlns:x15ac="http://schemas.microsoft.com/office/spreadsheetml/2010/11/ac" url="M:\DESEMPENHO_COMERCIAL\HIERARQUIA\2026\FEVEREIRO\"/>
    </mc:Choice>
  </mc:AlternateContent>
  <xr:revisionPtr revIDLastSave="0" documentId="13_ncr:1_{57114A98-B69E-4329-A66C-E70F300DE5AD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Planilha1" sheetId="3" state="hidden" r:id="rId1"/>
    <sheet name="Planilha2" sheetId="5" state="hidden" r:id="rId2"/>
    <sheet name="HIERARQUIA PARA INTENÇÕES" sheetId="13" state="hidden" r:id="rId3"/>
    <sheet name="LOJAS ATIVAS" sheetId="1" r:id="rId4"/>
    <sheet name="EMAIL_LOJAS" sheetId="16" state="hidden" r:id="rId5"/>
    <sheet name="FONE_LOJA" sheetId="15" state="hidden" r:id="rId6"/>
    <sheet name="LOJAS FECHADAS" sheetId="12" r:id="rId7"/>
    <sheet name="CODIGOS_REGIONAIS" sheetId="14" r:id="rId8"/>
    <sheet name="LOJAS EXPANSÃO" sheetId="17" r:id="rId9"/>
    <sheet name="Planilha4" sheetId="11" state="hidden" r:id="rId10"/>
    <sheet name="Planilha6" sheetId="10" state="hidden" r:id="rId11"/>
    <sheet name="NOTEBOOK" sheetId="8" state="hidden" r:id="rId12"/>
    <sheet name="Planilha3" sheetId="6" state="hidden" r:id="rId13"/>
  </sheets>
  <externalReferences>
    <externalReference r:id="rId14"/>
  </externalReferences>
  <definedNames>
    <definedName name="_xlnm._FilterDatabase" localSheetId="2" hidden="1">'HIERARQUIA PARA INTENÇÕES'!$A$1:$T$494</definedName>
    <definedName name="_xlnm._FilterDatabase" localSheetId="3" hidden="1">'LOJAS ATIVAS'!$A$1:$V$314</definedName>
    <definedName name="_xlnm._FilterDatabase" localSheetId="6" hidden="1">'LOJAS FECHADAS'!$A$1:$T$10</definedName>
    <definedName name="_xlnm._FilterDatabase" localSheetId="12" hidden="1">Planilha3!$A$1:$N$177</definedName>
  </definedNames>
  <calcPr calcId="191029"/>
  <pivotCaches>
    <pivotCache cacheId="4" r:id="rId15"/>
    <pivotCache cacheId="5" r:id="rId16"/>
    <pivotCache cacheId="6" r:id="rId17"/>
    <pivotCache cacheId="7" r:id="rId18"/>
    <pivotCache cacheId="8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4" i="1" l="1"/>
  <c r="F285" i="1"/>
  <c r="F286" i="1"/>
  <c r="F287" i="1"/>
  <c r="F288" i="1"/>
  <c r="F289" i="1"/>
  <c r="F283" i="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5" i="11"/>
  <c r="Q161" i="6" l="1"/>
</calcChain>
</file>

<file path=xl/sharedStrings.xml><?xml version="1.0" encoding="utf-8"?>
<sst xmlns="http://schemas.openxmlformats.org/spreadsheetml/2006/main" count="10028" uniqueCount="1865">
  <si>
    <t>Codigo</t>
  </si>
  <si>
    <t>Descricao</t>
  </si>
  <si>
    <t>Nome Gerente Regional de Lojas</t>
  </si>
  <si>
    <t>S</t>
  </si>
  <si>
    <t>LOJA PORTO ALEGRE - BORGES - RS</t>
  </si>
  <si>
    <t>LOJA BORGES - RS</t>
  </si>
  <si>
    <t>CINARA REGINA KEMERICH</t>
  </si>
  <si>
    <t>LARISSA OLIVEIRA BARBOZA</t>
  </si>
  <si>
    <t>LOJA CANOAS - CENTRO - RS</t>
  </si>
  <si>
    <t>LOJA CANOAS/RS</t>
  </si>
  <si>
    <t>ADRIELE DA SILVA SOUZA</t>
  </si>
  <si>
    <t>LOJA SAPIRANGA - RS</t>
  </si>
  <si>
    <t>LOJA SAPIRANGA/RS</t>
  </si>
  <si>
    <t>AMELISE DA SILVA SOUZA</t>
  </si>
  <si>
    <t>LOJA GUAIBA - RS</t>
  </si>
  <si>
    <t>LOJA GUAIBA/RS</t>
  </si>
  <si>
    <t>LOJA CACHOEIRA DO SUL - RS</t>
  </si>
  <si>
    <t>LOJA CACHOEIRA DO SUL/RS</t>
  </si>
  <si>
    <t>ANDRESSA DA SILVA DA SILVA</t>
  </si>
  <si>
    <t>LOJA PORTO ALEGRE - AZENHA - RS</t>
  </si>
  <si>
    <t>LOJA AZENHA - RS</t>
  </si>
  <si>
    <t>LOJA VIAMAO - RS</t>
  </si>
  <si>
    <t>LOJA IGREJINHA - RS</t>
  </si>
  <si>
    <t>LOJA IGREJINHA/RS</t>
  </si>
  <si>
    <t>LOJA SAO LEOPOLDO - RS</t>
  </si>
  <si>
    <t>LOJA SAO LEOPOLDO</t>
  </si>
  <si>
    <t>LOJA SAPUCAIA DO SUL I - RS</t>
  </si>
  <si>
    <t>LOJA SAPUCAIA DO SUL/RS</t>
  </si>
  <si>
    <t>LOJA SAPUCAIA DO SUL II - RS</t>
  </si>
  <si>
    <t>LOJA SAPUCAIA DO SUL II/RS</t>
  </si>
  <si>
    <t>LOJA TAQUARA - RS</t>
  </si>
  <si>
    <t>LOJA TAQUARA/RS</t>
  </si>
  <si>
    <t>LOJA ESTEIO - RS</t>
  </si>
  <si>
    <t>LOJA ESTEIO/RS</t>
  </si>
  <si>
    <t>LOJA TAPES - RS</t>
  </si>
  <si>
    <t>LOJA TAPES/RS</t>
  </si>
  <si>
    <t>LOJA IJUI 1 - RS</t>
  </si>
  <si>
    <t>LOJA IJUI I/RS</t>
  </si>
  <si>
    <t>LOJA ROLANTE - RS</t>
  </si>
  <si>
    <t>LOJA ROLANTE/RS</t>
  </si>
  <si>
    <t>LOJA SANTO ANTONIO DA PATRULHA - RS</t>
  </si>
  <si>
    <t>LOJA SANTO ANTONIO DA PATRULHA/RS</t>
  </si>
  <si>
    <t>LOJA GRAVATAI - RS</t>
  </si>
  <si>
    <t>LOJA GRAVATAI</t>
  </si>
  <si>
    <t>LOJA CACHOEIRINHA - RS</t>
  </si>
  <si>
    <t>LOJA CACHOEIRINHA/RS</t>
  </si>
  <si>
    <t>LOJA BUTIA - RS</t>
  </si>
  <si>
    <t>LOJA BUTIA/RS</t>
  </si>
  <si>
    <t>LOJA CAMAQUA - RS</t>
  </si>
  <si>
    <t>LOJA MONTENEGRO - RS</t>
  </si>
  <si>
    <t>LOJA MONTENEGRO/RS</t>
  </si>
  <si>
    <t>LOJA PORTAO - RS</t>
  </si>
  <si>
    <t>LOJA PORTAO/RS</t>
  </si>
  <si>
    <t>LOJA CAXIAS DO SUL - RS</t>
  </si>
  <si>
    <t>LOJA CAXIAS DO SUL/RS</t>
  </si>
  <si>
    <t>LOJA SAO JERONIMO - RS</t>
  </si>
  <si>
    <t>LOJA SAO JERONIMO/RS</t>
  </si>
  <si>
    <t>LOJA SANTA MARIA - RS</t>
  </si>
  <si>
    <t>LOJA SANTA MARIA/RS</t>
  </si>
  <si>
    <t>LOJA BENTO GONCALVES - RS</t>
  </si>
  <si>
    <t>LOJA BENTO GONÇALVES - RS</t>
  </si>
  <si>
    <t>LOJA CANOAS - GUAJUVIRAS - RS</t>
  </si>
  <si>
    <t>LOJA CANOAS - GUAJUVIRAS/RS</t>
  </si>
  <si>
    <t>LOJA NOVO HAMBURGO - RS</t>
  </si>
  <si>
    <t>LOJA NOVO HAMBURGO/RS</t>
  </si>
  <si>
    <t>LOJA PELOTAS - RS</t>
  </si>
  <si>
    <t>LOJA PELOTAS/RS</t>
  </si>
  <si>
    <t>VIVIANE FAGUNDES DE MELLO</t>
  </si>
  <si>
    <t>LOJA URUGUAIANA - RS</t>
  </si>
  <si>
    <t>LOJA URUGUAIANA/RS</t>
  </si>
  <si>
    <t>LOJA CAMPO BOM - RS</t>
  </si>
  <si>
    <t>LOJA CAMPO BOM/RS</t>
  </si>
  <si>
    <t>LOJA SAO LOURENÇO - RS</t>
  </si>
  <si>
    <t>LOJA SAO LOURENCO</t>
  </si>
  <si>
    <t>LOJA IJUI 2 - RS</t>
  </si>
  <si>
    <t>LOJA IJUI II/RS</t>
  </si>
  <si>
    <t>LOJA TRAMANDAI - RS</t>
  </si>
  <si>
    <t>LOJA TRAMANDAÍ</t>
  </si>
  <si>
    <t>LOJA TORRES - RS</t>
  </si>
  <si>
    <t>CASCIO AMES</t>
  </si>
  <si>
    <t>LOJA PORTO ALEGRE - ASSIS BRASIL - RS</t>
  </si>
  <si>
    <t>LOJA ASSIS BRASIL - RS</t>
  </si>
  <si>
    <t>LOJA BALNEARIO CAMBORIU - SC</t>
  </si>
  <si>
    <t>LOJA FLORIANOPOLIS - SC</t>
  </si>
  <si>
    <t>LOJA CHAPECO / SC</t>
  </si>
  <si>
    <t>LOJA CHAPECÓ - SC</t>
  </si>
  <si>
    <t>LOJA PALHOÇA - SC</t>
  </si>
  <si>
    <t>LOJA LAGUNA - SC</t>
  </si>
  <si>
    <t>LOJA SAO JOSE - SC</t>
  </si>
  <si>
    <t>LOJA MARINGA 1 - PR</t>
  </si>
  <si>
    <t>LOJA MARINGA I/PR</t>
  </si>
  <si>
    <t>LOJA FAZENDA RIO GRANDE - PR</t>
  </si>
  <si>
    <t>LOJA CURITIBA - PR</t>
  </si>
  <si>
    <t>LOJA CURITIBA/PR</t>
  </si>
  <si>
    <t>LOJA LONDRINA - PR</t>
  </si>
  <si>
    <t>LOJA LONDRINA/PR</t>
  </si>
  <si>
    <t>LOJA MARINGA 2 - PR</t>
  </si>
  <si>
    <t>LOJA MARINGA II/PR</t>
  </si>
  <si>
    <t>LOJA BELO HORIZONTE - MG</t>
  </si>
  <si>
    <t>LOJA ITAQUERA - SP</t>
  </si>
  <si>
    <t>LOJA ITAQUERA/SP</t>
  </si>
  <si>
    <t>ANA CELIA PEREIRA SANTOS SILVA</t>
  </si>
  <si>
    <t>LOJA CAMPINAS - SP</t>
  </si>
  <si>
    <t>LOJA CAMPINAS/SP</t>
  </si>
  <si>
    <t>LOJA PRAIA GRANDE - SP</t>
  </si>
  <si>
    <t>LOJA PRAIA GRANDE/SP</t>
  </si>
  <si>
    <t>LOJA ITAQUAQUECETUBA - SP</t>
  </si>
  <si>
    <t>LOJA ITAQUAQUECETUBA/SP</t>
  </si>
  <si>
    <t>LOJA SAO PAULO - PENHA - SP</t>
  </si>
  <si>
    <t>LOJA PENHA/SP</t>
  </si>
  <si>
    <t>LOJA CABULA - SALVADOR</t>
  </si>
  <si>
    <t>LOJA CABULA - SALVADOR - BA</t>
  </si>
  <si>
    <t>SIRLENE SANTOS DE SOUZA BARBOSA</t>
  </si>
  <si>
    <t>LOJA ITAPUÃ - SALVADOR</t>
  </si>
  <si>
    <t>LOJA ITAPUA - SALVADOR - BA</t>
  </si>
  <si>
    <t>LOJA CAJAZEIRAS - BA</t>
  </si>
  <si>
    <t>LOJA SAO MARCOS - BA</t>
  </si>
  <si>
    <t>LOJA SAO MARCOS/BA</t>
  </si>
  <si>
    <t>LOJA SALVADOR - BA</t>
  </si>
  <si>
    <t>LOJA SALVADOR/BA</t>
  </si>
  <si>
    <t>LOJA RECIFE - PE</t>
  </si>
  <si>
    <t>LOJA RECIFE/PE</t>
  </si>
  <si>
    <t>CRISTIANE CARVALHO GEBELATTO</t>
  </si>
  <si>
    <t>LOJA SERRA - ES</t>
  </si>
  <si>
    <t>GISELLE MORAES SCHNEIDER</t>
  </si>
  <si>
    <t>LOJA LINHARES - ES</t>
  </si>
  <si>
    <t>LOJA CONJ CEARA - FORTALEZA - CE</t>
  </si>
  <si>
    <t>LOJA CONJUNTO CEARA - FORTALEZA - CE</t>
  </si>
  <si>
    <t>LOJA PARANGABA - CE</t>
  </si>
  <si>
    <t>LOJA PARANGABA - FORTALEZA - CE</t>
  </si>
  <si>
    <t>LOJA MESSEJANA - CE</t>
  </si>
  <si>
    <t>LOJA RIO GRANDE - RS</t>
  </si>
  <si>
    <t>LOJA RIO GRANDE</t>
  </si>
  <si>
    <t>LOJA ALEGRETE - RS</t>
  </si>
  <si>
    <t>LOJA SALGADO FILHO - RS</t>
  </si>
  <si>
    <t>LOJA SALGADO FILHO/RS</t>
  </si>
  <si>
    <t>LOJA SÃO GABRIEL / RS</t>
  </si>
  <si>
    <t>LOJA SAO GABRIEL/RS</t>
  </si>
  <si>
    <t>LOJA ERECHIM / RS</t>
  </si>
  <si>
    <t>LOJA ERECHIM/RS</t>
  </si>
  <si>
    <t>LOJA CARAZINHO / RS</t>
  </si>
  <si>
    <t>LOJA CARAZINHO - RS</t>
  </si>
  <si>
    <t>LOJA PASSO FUNDO 2 / RS</t>
  </si>
  <si>
    <t>LOJA PASSO FUNDO 2 - RS</t>
  </si>
  <si>
    <t>LOJA ITAQUI - RS</t>
  </si>
  <si>
    <t>LOJA ITAQUI/RS</t>
  </si>
  <si>
    <t>LOJA SANTIAGO  - RS</t>
  </si>
  <si>
    <t>LOJA SANTIAGO II</t>
  </si>
  <si>
    <t>LOJA TRES PASSOS - RS</t>
  </si>
  <si>
    <t>LOJA TRES PASSOS/RS</t>
  </si>
  <si>
    <t>LOJA SAO LEOPOLDO II - RS</t>
  </si>
  <si>
    <t>LOJA SAO LEOPOLDO II</t>
  </si>
  <si>
    <t>LOJA SANTA ROSA/RS</t>
  </si>
  <si>
    <t>LOJA SANTA ROSA</t>
  </si>
  <si>
    <t>LOJA NOVO HAMBURGO 2/RS</t>
  </si>
  <si>
    <t>LOJA NOVO HAMBURGO II/RS</t>
  </si>
  <si>
    <t>LOJA SAO BORJA - RS</t>
  </si>
  <si>
    <t>LOJA CARIACICA - ES</t>
  </si>
  <si>
    <t>LOJA GUARAPARI - ES</t>
  </si>
  <si>
    <t>LOJA VITORIA - ES</t>
  </si>
  <si>
    <t>LOJA VITORIA/ES</t>
  </si>
  <si>
    <t>LOJA VILA VELHA - ES</t>
  </si>
  <si>
    <t>LOJA CAMPO GRANDE - MS</t>
  </si>
  <si>
    <t>LOJA CAMPO GRANDE/MS</t>
  </si>
  <si>
    <t>LOJA JOAO PAULO - MA</t>
  </si>
  <si>
    <t>MAYARA NOVAIS LOPES</t>
  </si>
  <si>
    <t>LOJA SAO LUIS - MA</t>
  </si>
  <si>
    <t>LOJA SAO LUIS/MA</t>
  </si>
  <si>
    <t>LOJA NATAL I - RN</t>
  </si>
  <si>
    <t>LOJA NATAL II - RN</t>
  </si>
  <si>
    <t>LOJA GOIANIA - GO</t>
  </si>
  <si>
    <t>LOJA GOIANIA/GO</t>
  </si>
  <si>
    <t>LOJA SETOR GARAVELO - GO</t>
  </si>
  <si>
    <t>LOJA APARECIDA DE GOIANIA II - GO</t>
  </si>
  <si>
    <t xml:space="preserve">LOJA SETOR CAMPINAS / GO </t>
  </si>
  <si>
    <t>LOJA SETOR CAMPINAS/GO</t>
  </si>
  <si>
    <t>LOJA BELEM - PA</t>
  </si>
  <si>
    <t>LOJA BELEM/PA</t>
  </si>
  <si>
    <t>LOJA TELEGRAFO - PA</t>
  </si>
  <si>
    <t>LOJA ICOARACI - PA</t>
  </si>
  <si>
    <t>LOJA CAMPINA GRANDE - PB</t>
  </si>
  <si>
    <t>LOJA CAMPINA GRANDE</t>
  </si>
  <si>
    <t>LOJA JOAO PESSOA - PB</t>
  </si>
  <si>
    <t>LOJA JOAO PESSOA/PB</t>
  </si>
  <si>
    <t>LOJA BAYEUX - PB</t>
  </si>
  <si>
    <t>LOJA MANGABEIRA / PB</t>
  </si>
  <si>
    <t>LOJA CUIABA - MT</t>
  </si>
  <si>
    <t>LOJA CUIABA</t>
  </si>
  <si>
    <t>LOJA LAJEADO - RS</t>
  </si>
  <si>
    <t>LOJA LAJEADO</t>
  </si>
  <si>
    <t>LOJA VENANCIO AIRES - RS</t>
  </si>
  <si>
    <t>LOJA VENANCIO AIRES</t>
  </si>
  <si>
    <t>LOJA CANGUÇU - RS</t>
  </si>
  <si>
    <t>LOJA CANGUÇU</t>
  </si>
  <si>
    <t>LOJA SANTO ÂNGELO - RS</t>
  </si>
  <si>
    <t>LOJA SANTO ANGELO</t>
  </si>
  <si>
    <t>LOJA ROSARIO DO SUL</t>
  </si>
  <si>
    <t>LOJA TRES COROAS - RS</t>
  </si>
  <si>
    <t>LOJA TRES COROAS</t>
  </si>
  <si>
    <t>LOJA CRUZ ALTA - RS</t>
  </si>
  <si>
    <t>LOJA CRUZ ALTA</t>
  </si>
  <si>
    <t>LOJA PASSO FUNDO - RS</t>
  </si>
  <si>
    <t>LOJA PORTO ALEGRE - VIGARIO - RS</t>
  </si>
  <si>
    <t>LOJA VIGARIO II</t>
  </si>
  <si>
    <t>LOJA PORTO ALEGRE - ASSIS BRASIL 2 - RS</t>
  </si>
  <si>
    <t>LOJA ASSIS BRASIL II - RS</t>
  </si>
  <si>
    <t>LOJA SANTA CRUZ DO SUL - RS</t>
  </si>
  <si>
    <t>LOJA SANTA CRUZ DO SUL</t>
  </si>
  <si>
    <t>LOJA SOLEDADE - RS</t>
  </si>
  <si>
    <t>LOJA SOLEDADE</t>
  </si>
  <si>
    <t>LOJA CHARQUEADAS - RS</t>
  </si>
  <si>
    <t>LOJA CHARQUEADAS/RS</t>
  </si>
  <si>
    <t>LOJA PORTO ALEGRE - OSVALDO ARANHA II - RS</t>
  </si>
  <si>
    <t>LOJA OSVALDO ARANHA II</t>
  </si>
  <si>
    <t>LOJA TERESINA - PI</t>
  </si>
  <si>
    <t>LOJA TERESINA</t>
  </si>
  <si>
    <t>LOJA TERESINA II - PI</t>
  </si>
  <si>
    <t>LOJA TERESINA II</t>
  </si>
  <si>
    <t>LOJA JOINVILLE - SC</t>
  </si>
  <si>
    <t>LOJA CRICIUMA - SC</t>
  </si>
  <si>
    <t>LOJA TUBARÃO - SC</t>
  </si>
  <si>
    <t>LOJA TUBARAO - SC</t>
  </si>
  <si>
    <t>LOJA ARARANGUA -  SC</t>
  </si>
  <si>
    <t>LOJA ARARANGUA - SC</t>
  </si>
  <si>
    <t>LOJA MACAPA - AP</t>
  </si>
  <si>
    <t>LOJA MACAPA/AP</t>
  </si>
  <si>
    <t>LOJA MACEIO - AL</t>
  </si>
  <si>
    <t>LOJA MACEIO</t>
  </si>
  <si>
    <t>LOJA PALMAS - TO</t>
  </si>
  <si>
    <t>LOJA PARANAGUA - PR</t>
  </si>
  <si>
    <t>LOJA PARANAGUA/PR</t>
  </si>
  <si>
    <t>LOJA ALMIRANTE TAMANDARÉ - PR</t>
  </si>
  <si>
    <t>LOJA ALMIRANTE TAMANDARE- PR</t>
  </si>
  <si>
    <t>LOJA SAO JOSÉ DOS PINHAIS</t>
  </si>
  <si>
    <t>LOJA SAO JOSE DOS PINHAIS/PR</t>
  </si>
  <si>
    <t>LOJA PONTA GROSSA - PR</t>
  </si>
  <si>
    <t>LOJA FOZ DO IGUAÇU - PR</t>
  </si>
  <si>
    <t>LOJA FOZ DO IGUAÇU/PR</t>
  </si>
  <si>
    <t>LOJA CASCAVEL - PR</t>
  </si>
  <si>
    <t>LOJA CASCAVEL/PR</t>
  </si>
  <si>
    <t>LOJA TOLEDO / PR</t>
  </si>
  <si>
    <t>LOJA TOLEDO/PR</t>
  </si>
  <si>
    <t>LOJA CAMPO MOURÃO - PR</t>
  </si>
  <si>
    <t>LOJA CAMPO MOURAO - PR</t>
  </si>
  <si>
    <t>LOJA PAÇO DO LUMIAR - MA</t>
  </si>
  <si>
    <t>LOJA TIRIRICAL - MA</t>
  </si>
  <si>
    <t>LOJA TIRIRICAL/MA</t>
  </si>
  <si>
    <t>LOJA SAO JOSE DE RIBAMAR - MA</t>
  </si>
  <si>
    <t>LOJA SÃO JOSE DE RIBAMAR/MA</t>
  </si>
  <si>
    <t>LOJA CONSELHEIRO LAFAIETE-MG</t>
  </si>
  <si>
    <t>LOJA CONSELHEIRO LAFAIETE- MG</t>
  </si>
  <si>
    <t>THAYSA SANDIM DE SOUZA</t>
  </si>
  <si>
    <t>LOJA  JUIZ DE FORA - MG</t>
  </si>
  <si>
    <t>LOJA JUIZ DE FORA - MG</t>
  </si>
  <si>
    <t>LOJA BH - BARREIRO - MG</t>
  </si>
  <si>
    <t>LOJA BARREIRO - MG</t>
  </si>
  <si>
    <t>LOJA SANTA LUZIA  / MG</t>
  </si>
  <si>
    <t>LOJA SANTA LUZIA/MG</t>
  </si>
  <si>
    <t>LOJA CONTAGEM/MG</t>
  </si>
  <si>
    <t>LOJA SAO VICENTE - SP</t>
  </si>
  <si>
    <t>LOJA SAO VICENTE/SP</t>
  </si>
  <si>
    <t>LOJA RIBEIRAO PRETO - SP</t>
  </si>
  <si>
    <t>LOJA RIBEIRAO PRETO/SP</t>
  </si>
  <si>
    <t>LOJA OSASCO - SP</t>
  </si>
  <si>
    <t>LOJA OSASCO/SP</t>
  </si>
  <si>
    <t>LOJA SAO JOSE DO RIO PRETO - SP</t>
  </si>
  <si>
    <t>LOJA SAO JOSE DO RIO PRETO/SP</t>
  </si>
  <si>
    <t>LOJA SANTOS - SP</t>
  </si>
  <si>
    <t>LOJA SANTOS/SP</t>
  </si>
  <si>
    <t>LOJA SAO JOSE DOS CAMPOS - SP</t>
  </si>
  <si>
    <t>LOJA SAO JOSE DOS CAMPOS/SP</t>
  </si>
  <si>
    <t>LOJA GUARULHOS - SP</t>
  </si>
  <si>
    <t>LOJA GUARULHOS/SP</t>
  </si>
  <si>
    <t>LOJA ARARAQUARA - SP</t>
  </si>
  <si>
    <t>LOJA SUMARE - SP</t>
  </si>
  <si>
    <t>LOJA SUMARE/SP</t>
  </si>
  <si>
    <t>LOJA SAO BENTO - SP</t>
  </si>
  <si>
    <t>LOJA SAO BENTO/SP</t>
  </si>
  <si>
    <t>LOJA BAURU/SP</t>
  </si>
  <si>
    <t>LOJA BAURU - SP</t>
  </si>
  <si>
    <t>LOJA PIRACICABA - SP</t>
  </si>
  <si>
    <t>LOJA JAU - SP</t>
  </si>
  <si>
    <t>LOJA LIMEIRA - SP</t>
  </si>
  <si>
    <t>LOJA MARILIA - SP</t>
  </si>
  <si>
    <t>LOJA RIO CLARO - SP</t>
  </si>
  <si>
    <t>LOJA SÃO CARLOS - SP</t>
  </si>
  <si>
    <t>LOJA SAO CARLOS - SP</t>
  </si>
  <si>
    <t>LOJA OURINHOS - SP</t>
  </si>
  <si>
    <t>LOJA JUNDIAI - SP</t>
  </si>
  <si>
    <t>LOJA JUNDIAÍ - SP</t>
  </si>
  <si>
    <t>LOJA VOLTA REDONDA - RJ</t>
  </si>
  <si>
    <t>LOJA VOLTA REDONDA/RJ</t>
  </si>
  <si>
    <t>LOJA BANGU - RJ</t>
  </si>
  <si>
    <t>LOJA BANGU/RJ</t>
  </si>
  <si>
    <t>SHAIENE DA CRUZ XAVIER</t>
  </si>
  <si>
    <t>LOJA VOLTA REDONDA II - RJ</t>
  </si>
  <si>
    <t>LOJA BARRA MANSA - RJ</t>
  </si>
  <si>
    <t>LOJA RESENDE - RJ</t>
  </si>
  <si>
    <t>LOJA NITEROI - RJ</t>
  </si>
  <si>
    <t>LOJA NITEROI/RJ</t>
  </si>
  <si>
    <t>LOJA MADUREIRA - RJ</t>
  </si>
  <si>
    <t>LOJA MADUREIRA/RJ</t>
  </si>
  <si>
    <t>LOJA MEIER - RJ</t>
  </si>
  <si>
    <t>LOJA MEIER/RJ</t>
  </si>
  <si>
    <t>LOJA DUQUE DE CAXIAS - RJ</t>
  </si>
  <si>
    <t>LOJA DUQUE DE CAXIAS/RJ</t>
  </si>
  <si>
    <t>LOJA NOVA IGUAÇU/RJ</t>
  </si>
  <si>
    <t>LOJA RIO DE JANEIRO - RJ</t>
  </si>
  <si>
    <t>LOJA RIO DE JANEIRO/RJ</t>
  </si>
  <si>
    <t>LOJA BARRA DO PIRAI - RJ</t>
  </si>
  <si>
    <t>LOJA CAMPO GRANDE - RJ</t>
  </si>
  <si>
    <t>LOJA CAMPO GRANDE/RJ</t>
  </si>
  <si>
    <t>LOJA SALVADOR/COMERCIO</t>
  </si>
  <si>
    <t>LOJA CARUARU/PE</t>
  </si>
  <si>
    <t>LOJA AFOGADOS - RECIFE</t>
  </si>
  <si>
    <t>LOJA AFOGADOS - RECIFE - PE</t>
  </si>
  <si>
    <t>LOJA CRUZ DAS ARMAS - PB</t>
  </si>
  <si>
    <t>LOJA FORTALEZA - CE</t>
  </si>
  <si>
    <t>LOJA FORTALEZA/CE</t>
  </si>
  <si>
    <t>LOJA UBA - MG</t>
  </si>
  <si>
    <t>LOJA UMUARAMA - PR</t>
  </si>
  <si>
    <t>LOJA UMUARAMA</t>
  </si>
  <si>
    <t>LOJA ITAJAI - SC</t>
  </si>
  <si>
    <t>LOJA ITAJAI</t>
  </si>
  <si>
    <t>LOJA SANTOS DUMONT - MG</t>
  </si>
  <si>
    <t>LOJA MOGI DAS CRUZES</t>
  </si>
  <si>
    <t>LOJA VIÇOSA - MG</t>
  </si>
  <si>
    <t>LOJA VICOSA</t>
  </si>
  <si>
    <t>LOJA MURIAE - MG</t>
  </si>
  <si>
    <t xml:space="preserve">LOJA MURIAE </t>
  </si>
  <si>
    <t>LOJA CATAGUASES - MG</t>
  </si>
  <si>
    <t>LOJA CRUZEIRO - SP</t>
  </si>
  <si>
    <t>LOJA LORENA - SP</t>
  </si>
  <si>
    <t>LOJA LORENA</t>
  </si>
  <si>
    <t>LOJA TERMINAL PIMENTAS - SP</t>
  </si>
  <si>
    <t>LOJA GUARULHOS PIMENTAS</t>
  </si>
  <si>
    <t>LOJA GUARATINGUETA - SP</t>
  </si>
  <si>
    <t>LOJA GUARATINGUETA</t>
  </si>
  <si>
    <t>LOJA TAUBATE - SP</t>
  </si>
  <si>
    <t>LOJA TAUBATE</t>
  </si>
  <si>
    <t>LOJA SUZANO SP</t>
  </si>
  <si>
    <t>LOJA SUZANO</t>
  </si>
  <si>
    <t>LOJA MAUA - SP</t>
  </si>
  <si>
    <t>LOJA DIADEMA - SP</t>
  </si>
  <si>
    <t>LOJA SANTO ANDRE - SP</t>
  </si>
  <si>
    <t>LOJA SAO CAETANO - SP</t>
  </si>
  <si>
    <t>LOJA FRANCO DA ROCHA - SP</t>
  </si>
  <si>
    <t>LOJA MOGI DAS CRUZES - SP</t>
  </si>
  <si>
    <t>LOJA TATUAPE - SP</t>
  </si>
  <si>
    <t>LOJA PORTO ALEGRE ASSIS BRASIL III - RS</t>
  </si>
  <si>
    <t>LOJA ASSIS BRASIL III - RS</t>
  </si>
  <si>
    <t>LOJA PORTO ALEGRE - CRISTOVAO COLOMBO - RS</t>
  </si>
  <si>
    <t>LOJA PORTO ALEGRE - CRISTOVAO COLOMBO</t>
  </si>
  <si>
    <t>LOJA PROTASIO ALVES - RS</t>
  </si>
  <si>
    <t>LOJA ANGRA DOS REIS - RJ</t>
  </si>
  <si>
    <t>LOJA SAO ROQUE - SP</t>
  </si>
  <si>
    <t>LOJA VALINHOS - SP</t>
  </si>
  <si>
    <t>LOJA MATEUS - SP</t>
  </si>
  <si>
    <t>LOJA SAO MATEUS - SP</t>
  </si>
  <si>
    <t>LOJA ATIBAIA - SP</t>
  </si>
  <si>
    <t>ATIVA</t>
  </si>
  <si>
    <t>Coordenador</t>
  </si>
  <si>
    <t>LUCIENE ALMEIDA DA SILVA</t>
  </si>
  <si>
    <t>VALQUIRIA SANTOS DA CRUZ</t>
  </si>
  <si>
    <t>LOJA ANANINDEUA - PA</t>
  </si>
  <si>
    <t>LOJA SAO MIGUEL - SP</t>
  </si>
  <si>
    <t>DANIELA DO CARMO CAMPARA</t>
  </si>
  <si>
    <t xml:space="preserve">SIDNEY JUNIOR DANTAS HAMADA </t>
  </si>
  <si>
    <t>ANA PICOLLI</t>
  </si>
  <si>
    <t>MICHELE DE LIMA SAMPAIO</t>
  </si>
  <si>
    <t>JOAO GUALBERTO BRAZ JUNIOR</t>
  </si>
  <si>
    <t>LOJA CAJAZEIRAS -  BA</t>
  </si>
  <si>
    <t>QL</t>
  </si>
  <si>
    <t>MICHELE MARTINS DOS SANTOS</t>
  </si>
  <si>
    <t>LOJA BARAO GERALDO - SP</t>
  </si>
  <si>
    <t>BRUNA FERNANDA CARLOTA ALVES</t>
  </si>
  <si>
    <t>Total Geral</t>
  </si>
  <si>
    <t>Regionais</t>
  </si>
  <si>
    <t>Regionais/Coordenadores</t>
  </si>
  <si>
    <t>Discador</t>
  </si>
  <si>
    <t>VERSÁTIL</t>
  </si>
  <si>
    <t>SONAVOIP</t>
  </si>
  <si>
    <t>PORTAL</t>
  </si>
  <si>
    <t>DATA DE ABERTURA</t>
  </si>
  <si>
    <t>s</t>
  </si>
  <si>
    <t>JESSICA DOS SANTOS OLIVEIRA</t>
  </si>
  <si>
    <t>LOJA ARTHUR ALVIM - SP</t>
  </si>
  <si>
    <t>Remuneração Trimestral</t>
  </si>
  <si>
    <t>NÃO</t>
  </si>
  <si>
    <t>SIM</t>
  </si>
  <si>
    <t>LOJA CAMPINAS - BARAO GERALDO - SP</t>
  </si>
  <si>
    <t>JOSIANE DE SOUZA MONTEIRO DOS SANTOS</t>
  </si>
  <si>
    <t>LISIANE DE FATIMA BRAGA DA SILVA</t>
  </si>
  <si>
    <t>BIANCA THORMAM DA SILVA</t>
  </si>
  <si>
    <t>Rótulos de Linha</t>
  </si>
  <si>
    <t>THAMIRES IZIDORO DO NASCIMENTO SILVA</t>
  </si>
  <si>
    <t>THAINARA DO CARMO SANTOS</t>
  </si>
  <si>
    <t>JUCILENE CRISTINA LIMA SANTOS ANDRADE</t>
  </si>
  <si>
    <t>BRENO ROCHA HONORATO DA SILVA</t>
  </si>
  <si>
    <t>RENATO SOUZA DO ESPIRITO SANTO LANGA</t>
  </si>
  <si>
    <t>MARIA EDUARDA DELGADO MENESES</t>
  </si>
  <si>
    <t>LUANA SANTOS FURMANEK</t>
  </si>
  <si>
    <t>CALL CENTER - DEBITO DIGITAL</t>
  </si>
  <si>
    <t>CALL CENTER - FGTS</t>
  </si>
  <si>
    <t>CALL CENTER PRODUTOS E SERVIÇOS II</t>
  </si>
  <si>
    <t>CALL CENTER PRODUTOS E SERVIÇOS III</t>
  </si>
  <si>
    <t>CALL CENTER PRODUTOS E SERVIÇOS IV</t>
  </si>
  <si>
    <t>CALL CENTER PRODUTOS E SERVIÇOS IX</t>
  </si>
  <si>
    <t>CALL CENTER PRODUTOS E SERVIÇOS VI</t>
  </si>
  <si>
    <t>CALL CENTER PRODUTOS E SERVIÇOS VII</t>
  </si>
  <si>
    <t>CALL CENTER PRODUTOS E SERVIÇOS VIII</t>
  </si>
  <si>
    <t>CALL CENTER SIAPE - RS</t>
  </si>
  <si>
    <t>EDER RENAN BAIRROS DE ALMEIDA</t>
  </si>
  <si>
    <t>-</t>
  </si>
  <si>
    <t>LOJA FRANCISCO MORATO - SP</t>
  </si>
  <si>
    <t>CALL CENTER</t>
  </si>
  <si>
    <t>REGIÃO RS AMELISE</t>
  </si>
  <si>
    <t>REGIÃO SP ANA</t>
  </si>
  <si>
    <t>REGIÃO RS ANDRESSA</t>
  </si>
  <si>
    <t>REGIÃO SC/RS CASCIO</t>
  </si>
  <si>
    <t>REGIÃO CRISTIANE</t>
  </si>
  <si>
    <t>ROGÉRIO RIBEIRO</t>
  </si>
  <si>
    <t>CALL CENTER PRODUTOS E SERVIÇOS V</t>
  </si>
  <si>
    <t>REGIONAL RJ/MG/ES</t>
  </si>
  <si>
    <t>REGIÃO MAYARA</t>
  </si>
  <si>
    <t>DAYANNE KELLY DA ROCHA</t>
  </si>
  <si>
    <t>REGIÃO PR CASCIO</t>
  </si>
  <si>
    <t>N</t>
  </si>
  <si>
    <t>TRONCO</t>
  </si>
  <si>
    <t>TRONCO?</t>
  </si>
  <si>
    <t>cidade</t>
  </si>
  <si>
    <t>PORTO ALEGRE</t>
  </si>
  <si>
    <t>BASE ÚNICA</t>
  </si>
  <si>
    <t>ALEGRETE</t>
  </si>
  <si>
    <t>ALMIRANTE TAMANDARE</t>
  </si>
  <si>
    <t>APARECIDA DE GOIANIA</t>
  </si>
  <si>
    <t>ARARANGUA</t>
  </si>
  <si>
    <t>ARARAQUARA</t>
  </si>
  <si>
    <t>BALNEARIO CAMBORIU</t>
  </si>
  <si>
    <t>BARRA DO PIRAI</t>
  </si>
  <si>
    <t>BARRA MANSA</t>
  </si>
  <si>
    <t>BAURU</t>
  </si>
  <si>
    <t>BAYEUX</t>
  </si>
  <si>
    <t>BELEM</t>
  </si>
  <si>
    <t>BELO HORIZONTE</t>
  </si>
  <si>
    <t>BENTO GONCALVES</t>
  </si>
  <si>
    <t>CACHOEIRA DO SUL</t>
  </si>
  <si>
    <t>CACHOEIRINHA</t>
  </si>
  <si>
    <t>CAMAQUA</t>
  </si>
  <si>
    <t>CAMPINA GRANDE</t>
  </si>
  <si>
    <t>CAMPINAS</t>
  </si>
  <si>
    <t>CAMPO BOM</t>
  </si>
  <si>
    <t>CAMPO GRANDE</t>
  </si>
  <si>
    <t>CAMPO MOURAO</t>
  </si>
  <si>
    <t>CANGUCU</t>
  </si>
  <si>
    <t>CANOAS</t>
  </si>
  <si>
    <t>CARIACICA</t>
  </si>
  <si>
    <t>CARUARU</t>
  </si>
  <si>
    <t>CASCAVEL</t>
  </si>
  <si>
    <t>CAXIAS DO SUL</t>
  </si>
  <si>
    <t>CHAPECO</t>
  </si>
  <si>
    <t>CONTAGEM</t>
  </si>
  <si>
    <t>CRICIUMA</t>
  </si>
  <si>
    <t>CRUZ ALTA</t>
  </si>
  <si>
    <t>CRUZEIRO</t>
  </si>
  <si>
    <t>CUIABA</t>
  </si>
  <si>
    <t>CURITIBA</t>
  </si>
  <si>
    <t>DUQUE DE CAXIAS</t>
  </si>
  <si>
    <t>ERECHIM</t>
  </si>
  <si>
    <t>ESTEIO</t>
  </si>
  <si>
    <t>FAZENDA RIO GRANDE</t>
  </si>
  <si>
    <t>FLORIANOPOLIS</t>
  </si>
  <si>
    <t>FORTALEZA</t>
  </si>
  <si>
    <t>FOZ DO IGUACU</t>
  </si>
  <si>
    <t>GOIANIA</t>
  </si>
  <si>
    <t>GRAVATAI</t>
  </si>
  <si>
    <t>GUAIBA</t>
  </si>
  <si>
    <t>GUARAPARI</t>
  </si>
  <si>
    <t>GUARATINGUETA</t>
  </si>
  <si>
    <t>GUARULHOS</t>
  </si>
  <si>
    <t>IJUI</t>
  </si>
  <si>
    <t>ITAQUAQUECETUBA</t>
  </si>
  <si>
    <t>JAU</t>
  </si>
  <si>
    <t>JOAO PESSOA</t>
  </si>
  <si>
    <t>JOINVILLE</t>
  </si>
  <si>
    <t>JUNDIAI</t>
  </si>
  <si>
    <t>LAGUNA</t>
  </si>
  <si>
    <t>LAJEADO</t>
  </si>
  <si>
    <t>LIMEIRA</t>
  </si>
  <si>
    <t>LINHARES</t>
  </si>
  <si>
    <t>LONDRINA</t>
  </si>
  <si>
    <t>LORENA</t>
  </si>
  <si>
    <t>MACAPA</t>
  </si>
  <si>
    <t>MACEIO</t>
  </si>
  <si>
    <t>MARILIA</t>
  </si>
  <si>
    <t>MARINGA</t>
  </si>
  <si>
    <t>MONTENEGRO</t>
  </si>
  <si>
    <t>NATAL</t>
  </si>
  <si>
    <t>NITEROI</t>
  </si>
  <si>
    <t>NOVA IGUACU</t>
  </si>
  <si>
    <t>NOVO HAMBURGO</t>
  </si>
  <si>
    <t>OSASCO</t>
  </si>
  <si>
    <t>OURINHOS</t>
  </si>
  <si>
    <t>PACO DO LUMIAR</t>
  </si>
  <si>
    <t>PALHOCA</t>
  </si>
  <si>
    <t>PALMAS</t>
  </si>
  <si>
    <t>PARANAGUA</t>
  </si>
  <si>
    <t>PASSO FUNDO</t>
  </si>
  <si>
    <t>PELOTAS</t>
  </si>
  <si>
    <t>PIRACICABA</t>
  </si>
  <si>
    <t>PONTA GROSSA</t>
  </si>
  <si>
    <t>PRAIA GRANDE</t>
  </si>
  <si>
    <t>RECIFE</t>
  </si>
  <si>
    <t>RESENDE</t>
  </si>
  <si>
    <t>RIBEIRAO PRETO</t>
  </si>
  <si>
    <t>RIO CLARO</t>
  </si>
  <si>
    <t>RIO DE JANEIRO</t>
  </si>
  <si>
    <t>RIO GRANDE</t>
  </si>
  <si>
    <t>ROLANTE</t>
  </si>
  <si>
    <t>SALVADOR</t>
  </si>
  <si>
    <t>SANTA CRUZ DO SUL</t>
  </si>
  <si>
    <t>SANTA LUZIA</t>
  </si>
  <si>
    <t>SANTA MARIA</t>
  </si>
  <si>
    <t>SANTA ROSA</t>
  </si>
  <si>
    <t>SANTO ANGELO</t>
  </si>
  <si>
    <t>SANTOS</t>
  </si>
  <si>
    <t>SAO BORJA</t>
  </si>
  <si>
    <t>SAO CARLOS</t>
  </si>
  <si>
    <t>SAO GABRIEL</t>
  </si>
  <si>
    <t>SAO JOSE</t>
  </si>
  <si>
    <t>SAO JOSE DE RIBAMAR</t>
  </si>
  <si>
    <t>SAO JOSE DO RIO PRETO</t>
  </si>
  <si>
    <t>SAO JOSE DOS CAMPOS</t>
  </si>
  <si>
    <t>SAO JOSE DOS PINHAIS</t>
  </si>
  <si>
    <t>SAO LEOPOLDO</t>
  </si>
  <si>
    <t>SAO LOURENCO DO SUL</t>
  </si>
  <si>
    <t>SAO LUIS</t>
  </si>
  <si>
    <t>SAO PAULO</t>
  </si>
  <si>
    <t>SAO VICENTE</t>
  </si>
  <si>
    <t>SAPIRANGA</t>
  </si>
  <si>
    <t>SAPUCAIA DO SUL</t>
  </si>
  <si>
    <t>SERRA</t>
  </si>
  <si>
    <t>SUMARE</t>
  </si>
  <si>
    <t>SUZANO</t>
  </si>
  <si>
    <t>TAQUARA</t>
  </si>
  <si>
    <t>TAUBATE</t>
  </si>
  <si>
    <t>TERESINA</t>
  </si>
  <si>
    <t>TOLEDO</t>
  </si>
  <si>
    <t>TUBARAO</t>
  </si>
  <si>
    <t>UMUARAMA</t>
  </si>
  <si>
    <t>URUGUAIANA</t>
  </si>
  <si>
    <t>VENANCIO AIRES</t>
  </si>
  <si>
    <t>VIAMAO</t>
  </si>
  <si>
    <t>VILA VELHA</t>
  </si>
  <si>
    <t>VITORIA</t>
  </si>
  <si>
    <t>VOLTA REDONDA</t>
  </si>
  <si>
    <t>DAYSA</t>
  </si>
  <si>
    <t>DIONATHAN</t>
  </si>
  <si>
    <t>FERNANDO</t>
  </si>
  <si>
    <t>IMPORTAÇÃO</t>
  </si>
  <si>
    <t>ESTADO</t>
  </si>
  <si>
    <t>ok</t>
  </si>
  <si>
    <t>VERIFICAR</t>
  </si>
  <si>
    <t>OK</t>
  </si>
  <si>
    <t>REFAZER</t>
  </si>
  <si>
    <t>LOJA SÃO GERARDO - FORTALEZA</t>
  </si>
  <si>
    <t>INATIVA</t>
  </si>
  <si>
    <t>FECHADA</t>
  </si>
  <si>
    <t>LOJA PORTO ALEGRE - OSVALDO ARANHA I - RS</t>
  </si>
  <si>
    <t xml:space="preserve">THIAGO </t>
  </si>
  <si>
    <t>NOTEB.</t>
  </si>
  <si>
    <t>REGIONAL</t>
  </si>
  <si>
    <t xml:space="preserve">COORDENADOR </t>
  </si>
  <si>
    <t>SOBRANDO 1</t>
  </si>
  <si>
    <t>ANGELA</t>
  </si>
  <si>
    <t>ADRIELE</t>
  </si>
  <si>
    <t>CÓD</t>
  </si>
  <si>
    <t>LOJA</t>
  </si>
  <si>
    <t>COORDENADOR</t>
  </si>
  <si>
    <t xml:space="preserve">REGIONAL </t>
  </si>
  <si>
    <t>DISCADOR</t>
  </si>
  <si>
    <t>REMUNERAÇÃO</t>
  </si>
  <si>
    <t>CIDADE</t>
  </si>
  <si>
    <t>CC</t>
  </si>
  <si>
    <t>CENTRO DE CUSTO</t>
  </si>
  <si>
    <t>SUPERVISOR</t>
  </si>
  <si>
    <t>UF</t>
  </si>
  <si>
    <t>ENDEREÇO</t>
  </si>
  <si>
    <t>BAIRRO</t>
  </si>
  <si>
    <t>CEP</t>
  </si>
  <si>
    <t>RS</t>
  </si>
  <si>
    <t>R VASCO ALVES, 184 - SALA 3</t>
  </si>
  <si>
    <t>CENTRO</t>
  </si>
  <si>
    <t>97542-600</t>
  </si>
  <si>
    <t>PR</t>
  </si>
  <si>
    <t>AV. EMÍLIO JOHSON, Nº 174</t>
  </si>
  <si>
    <t>VILA SANTA TEREZINHA</t>
  </si>
  <si>
    <t>83501-000</t>
  </si>
  <si>
    <t>PA</t>
  </si>
  <si>
    <t>CONJUNTO CIDADE NOVA VII WE-64, 712, A</t>
  </si>
  <si>
    <t>COQUEIRO</t>
  </si>
  <si>
    <t>ANANINDEUA</t>
  </si>
  <si>
    <t>67140-652</t>
  </si>
  <si>
    <t>RJ</t>
  </si>
  <si>
    <t>RUA DA CONCEIÇÃO 16</t>
  </si>
  <si>
    <t>ANGRA DOS REIS</t>
  </si>
  <si>
    <t>23900-437</t>
  </si>
  <si>
    <t>GO</t>
  </si>
  <si>
    <t>ABRAÃO LOURENÇO DE CARVALHO QD 23 LOTE 11,SALA1E4</t>
  </si>
  <si>
    <t>SETOR CENTRAL</t>
  </si>
  <si>
    <t>74980-020</t>
  </si>
  <si>
    <t>SETOR GARAVELO</t>
  </si>
  <si>
    <t>74930-530</t>
  </si>
  <si>
    <t>SC</t>
  </si>
  <si>
    <t>RUA DR.VIRGULINO DE QUEIROZ, 215 SALA 2</t>
  </si>
  <si>
    <t>88900-009</t>
  </si>
  <si>
    <t>SP</t>
  </si>
  <si>
    <t xml:space="preserve">AV.FEIJO Nº 336 </t>
  </si>
  <si>
    <t>14801-140</t>
  </si>
  <si>
    <t>RUA THOME FRANCO, 258</t>
  </si>
  <si>
    <t>ATIBAIA</t>
  </si>
  <si>
    <t>12940-680</t>
  </si>
  <si>
    <t>RUA 900,  13</t>
  </si>
  <si>
    <t>88300-604</t>
  </si>
  <si>
    <t>RUA GOVERNADOR PORTELA, Nº 229</t>
  </si>
  <si>
    <t>27123-000</t>
  </si>
  <si>
    <t>AV. JOAQUIM LEITE, Nº 509,EDIF SHOP E HOUSE, LJ 3</t>
  </si>
  <si>
    <t xml:space="preserve">RUA TREZE DE MAIO, N 3-20 </t>
  </si>
  <si>
    <t>17010-230</t>
  </si>
  <si>
    <t>PB</t>
  </si>
  <si>
    <t>AVENIDA LIBERDADE 3379</t>
  </si>
  <si>
    <t>58110-160</t>
  </si>
  <si>
    <t>BAIRRO CAMPINAS</t>
  </si>
  <si>
    <t>66010-095</t>
  </si>
  <si>
    <t>AV. DR. LOPO DE CASTRO, 293 A</t>
  </si>
  <si>
    <t>ICOARACI</t>
  </si>
  <si>
    <t>66810-000</t>
  </si>
  <si>
    <t>TELEGRAFO</t>
  </si>
  <si>
    <t>MG</t>
  </si>
  <si>
    <t xml:space="preserve">AV. AFONSO PENA 925 </t>
  </si>
  <si>
    <t xml:space="preserve">CENTRO </t>
  </si>
  <si>
    <t>30130-002</t>
  </si>
  <si>
    <t>RUA SINFRÔNIO BROCHADO, Nº 678</t>
  </si>
  <si>
    <t>BARREIRO</t>
  </si>
  <si>
    <t>30640-000</t>
  </si>
  <si>
    <t xml:space="preserve">RUA AFONSO PENA, 86 </t>
  </si>
  <si>
    <t>CONSELHEIRO LAFAIETE</t>
  </si>
  <si>
    <t>36400-062</t>
  </si>
  <si>
    <t>RUA GENERAL GOMES CARNEIRO, 83 - LOJA 5</t>
  </si>
  <si>
    <t>95700-172</t>
  </si>
  <si>
    <t>AV. LEANDRO DE ALMEIDA, 622</t>
  </si>
  <si>
    <t>BUTIA</t>
  </si>
  <si>
    <t>96750-000</t>
  </si>
  <si>
    <t>SETE DE SETEMBRO, Nº 1438</t>
  </si>
  <si>
    <t>96508-010</t>
  </si>
  <si>
    <t>R EURIPEDES AURELIO DA SILVA, 12 - LJ 04</t>
  </si>
  <si>
    <t>94920-250</t>
  </si>
  <si>
    <t>AVENIDA OLAVO MORAES, 798 - LOJA A</t>
  </si>
  <si>
    <t>96780-070</t>
  </si>
  <si>
    <t>RUA EPITACIO PESSOA 166</t>
  </si>
  <si>
    <t>58400-025</t>
  </si>
  <si>
    <t>RUA JOSÉ PAULINO Nº 753</t>
  </si>
  <si>
    <t>13013-001</t>
  </si>
  <si>
    <t>Rua Horácio Leonardi 92</t>
  </si>
  <si>
    <t>BARÃO GERALDO</t>
  </si>
  <si>
    <t>13084-105</t>
  </si>
  <si>
    <t>AV BRASIL 3054 SALA 3 A</t>
  </si>
  <si>
    <t>93700-000</t>
  </si>
  <si>
    <t>MS</t>
  </si>
  <si>
    <t>RUA TREZE DE MAIO, 2892</t>
  </si>
  <si>
    <t>79002-356</t>
  </si>
  <si>
    <t>AV. IRMÃOS PEREIRA Nº 1631 SALA COMERCIAL</t>
  </si>
  <si>
    <t>87301-010</t>
  </si>
  <si>
    <t>AV. 20 DE SETEMBRO 11C</t>
  </si>
  <si>
    <t>CENTRO (TRIANGULO)</t>
  </si>
  <si>
    <t>96600-000</t>
  </si>
  <si>
    <t>RUA TIRADENTES, 216 - LOJA 06</t>
  </si>
  <si>
    <t>92010-260</t>
  </si>
  <si>
    <t>RUA BOQUEIRÃO Nº 706 SALA 02</t>
  </si>
  <si>
    <t>GUAJUVIRAS</t>
  </si>
  <si>
    <t>92032-420</t>
  </si>
  <si>
    <t>ES</t>
  </si>
  <si>
    <t>AV EXPEDITO GARCIA 210/475 COM 02, PAV BL 01</t>
  </si>
  <si>
    <t>29146-200</t>
  </si>
  <si>
    <t>PE</t>
  </si>
  <si>
    <t>RUA CORONEL LIMEIRA, Nº 049-C</t>
  </si>
  <si>
    <t>NOSSA SENHORA DAS DORES</t>
  </si>
  <si>
    <t>55002-350</t>
  </si>
  <si>
    <t>AVENIDA BRASIL 6282, SL 312</t>
  </si>
  <si>
    <t>85812-002</t>
  </si>
  <si>
    <t>RUA NOGUEIRA NEVES 22</t>
  </si>
  <si>
    <t>CATAGUASES</t>
  </si>
  <si>
    <t>36770-070</t>
  </si>
  <si>
    <t>RUA BENTO GONÇALVES, 1967 LJ 5 EDIFÍCIO C. PRESIDE</t>
  </si>
  <si>
    <t>95020-412</t>
  </si>
  <si>
    <t>AVENIDA FERNANDO MACHADO, 380 D, SALA 01, EDIFÍCIO</t>
  </si>
  <si>
    <t>89802-110</t>
  </si>
  <si>
    <t>AV. DR JOSE ATHANÁSIO, 129 SALA A</t>
  </si>
  <si>
    <t>CHARQUEADAS</t>
  </si>
  <si>
    <t>96745-000</t>
  </si>
  <si>
    <t>AV. LONDRES, 47 LOJA 1</t>
  </si>
  <si>
    <t>ELDORADO</t>
  </si>
  <si>
    <t>32340-570</t>
  </si>
  <si>
    <t>SAO JOSE 135/07, B</t>
  </si>
  <si>
    <t>88801-520</t>
  </si>
  <si>
    <t>RUA PINHEIRO MACHADO 865, SL 1</t>
  </si>
  <si>
    <t>98005-000</t>
  </si>
  <si>
    <t>RUA ENGENHEIRO ANTONIO PENIDO, 699</t>
  </si>
  <si>
    <t>12701-050</t>
  </si>
  <si>
    <t>MT</t>
  </si>
  <si>
    <t>RUA BARÃO DE MELGAÇO 3525, SL 3</t>
  </si>
  <si>
    <t xml:space="preserve">CENTRO-NORTE </t>
  </si>
  <si>
    <t>78005-300</t>
  </si>
  <si>
    <t>RUA ANDRE DE BARROS Nº 205</t>
  </si>
  <si>
    <t>80010-080</t>
  </si>
  <si>
    <t>DIADEMA</t>
  </si>
  <si>
    <t>09910-140</t>
  </si>
  <si>
    <t>AV. BRIGADEIRO LIMA E SILVA 1526, LOJA E E F</t>
  </si>
  <si>
    <t>JARDIM VINTE E CINCO DE AGOSTO</t>
  </si>
  <si>
    <t>25071-182</t>
  </si>
  <si>
    <t>AV. SETE DE SETEMBRO, Nº 483</t>
  </si>
  <si>
    <t>99700-000</t>
  </si>
  <si>
    <t>AV. PRESIDENTE VARGAS,2123</t>
  </si>
  <si>
    <t>93270-580</t>
  </si>
  <si>
    <t xml:space="preserve">RUA:CESAR CARELLI  Nº 151 SALA 1 </t>
  </si>
  <si>
    <t>PIONEIROS</t>
  </si>
  <si>
    <t>83833-054</t>
  </si>
  <si>
    <t>RUA DEODORO, 226 - SALA 101, EDIFÍCIO MARCO POLO</t>
  </si>
  <si>
    <t>88010-020</t>
  </si>
  <si>
    <t>CE</t>
  </si>
  <si>
    <t>AV. A, Nº 1115, LOJA A</t>
  </si>
  <si>
    <t>CONJUNTO CEARÁ</t>
  </si>
  <si>
    <t>60533-310</t>
  </si>
  <si>
    <t>RUA FLORIANO PEIXOTO,797</t>
  </si>
  <si>
    <t>60025-130</t>
  </si>
  <si>
    <t>CEL FRANCISCO PEREIRA,400, LOJA G</t>
  </si>
  <si>
    <t>MESSEJANA</t>
  </si>
  <si>
    <t>60840-290</t>
  </si>
  <si>
    <t>CAIO PRADO 61, LOJA 6</t>
  </si>
  <si>
    <t>PARANGABA</t>
  </si>
  <si>
    <t>60720-040</t>
  </si>
  <si>
    <t>RUA BARÃO DO RIO BRANCO, 648</t>
  </si>
  <si>
    <t>85851-310</t>
  </si>
  <si>
    <t>FRANCO DA ROCHA</t>
  </si>
  <si>
    <t>07851-010</t>
  </si>
  <si>
    <t>RUA 02, 230 LJ 2 - EDIF CARLOS CHAGAS LOJA 2</t>
  </si>
  <si>
    <t>74013-020</t>
  </si>
  <si>
    <t>AV. 24 DE OUTUBRO, N.779 QD.43 LT.04 SL.01</t>
  </si>
  <si>
    <t xml:space="preserve">SETOR CAMPINAS </t>
  </si>
  <si>
    <t>74505-011</t>
  </si>
  <si>
    <t>RUA CORONEL FONSECA, 772</t>
  </si>
  <si>
    <t>94010-190</t>
  </si>
  <si>
    <t>RUA CONEGO SCHERER, 556</t>
  </si>
  <si>
    <t>92704-560</t>
  </si>
  <si>
    <t>RUA CUSTÓDIO GONÇALVES SANTOS 232</t>
  </si>
  <si>
    <t>29200-280</t>
  </si>
  <si>
    <t>RUA MONSENHOR FILIPPO, 170 - SALA 5</t>
  </si>
  <si>
    <t>12501-410</t>
  </si>
  <si>
    <t>RUA OSWALDO CRUZ, 36</t>
  </si>
  <si>
    <t>07010-020</t>
  </si>
  <si>
    <t>EST. PRESIDENTE JUSCELINO KUBITSCHEK DE OLIVEIRA</t>
  </si>
  <si>
    <t>JARDIM ALBERTINA</t>
  </si>
  <si>
    <t>07252-000</t>
  </si>
  <si>
    <t>RUA 1º DE JUNHO, 141 - SALA 01</t>
  </si>
  <si>
    <t>IGREJINHA</t>
  </si>
  <si>
    <t>95650-000</t>
  </si>
  <si>
    <t>RUA 15 DE NOVEMBRO, 217 - SALA 01</t>
  </si>
  <si>
    <t>98700-000</t>
  </si>
  <si>
    <t>RUA FLORIANO PEIXOTO, N°239</t>
  </si>
  <si>
    <t>ITAJAI</t>
  </si>
  <si>
    <t>88301-210</t>
  </si>
  <si>
    <t>08570-060</t>
  </si>
  <si>
    <t>RUA BORGES DO CANTO,  Nº 1056</t>
  </si>
  <si>
    <t>ITAQUI</t>
  </si>
  <si>
    <t>97650-000</t>
  </si>
  <si>
    <t xml:space="preserve">LOURENÇO PRADO, Nº 236 </t>
  </si>
  <si>
    <t>17201-000</t>
  </si>
  <si>
    <t>AV. CRUZ DAS ARMAS, 771, SALA B</t>
  </si>
  <si>
    <t>CRUZ DAS ARMAS</t>
  </si>
  <si>
    <t>58085-000</t>
  </si>
  <si>
    <t>RUA TREZE DE MAIO, 391</t>
  </si>
  <si>
    <t>58013-070</t>
  </si>
  <si>
    <t>RUA JOSEFA TAVEIRA 1547</t>
  </si>
  <si>
    <t>MAGABEIRA</t>
  </si>
  <si>
    <t>58055-000</t>
  </si>
  <si>
    <t>dona Francisca 114</t>
  </si>
  <si>
    <t>89201-250</t>
  </si>
  <si>
    <t>RUA BARÃO DE SÃO JOÃO NEPOMUCENO, 66</t>
  </si>
  <si>
    <t>JUIZ DE FORA</t>
  </si>
  <si>
    <t>36014-008</t>
  </si>
  <si>
    <t>RUA VIGARIO JOAO JOSE RODRIGUES 969</t>
  </si>
  <si>
    <t>13201-001</t>
  </si>
  <si>
    <t>AV ENGENHEIRO COLOMBO MACHADO SALES, N° 108</t>
  </si>
  <si>
    <t>88790-000</t>
  </si>
  <si>
    <t>RUA FRANCISCO OSCAR KARNAL - Nº 333 LOJA 103</t>
  </si>
  <si>
    <t>95900-180</t>
  </si>
  <si>
    <t>PRAÇA TOLEDO BARROS, Nº 296</t>
  </si>
  <si>
    <t>13480-008</t>
  </si>
  <si>
    <t>CAPITÃO JOSÉ MARIA, Nº 1.031, LOJA 02</t>
  </si>
  <si>
    <t>29900-171</t>
  </si>
  <si>
    <t xml:space="preserve">AV PARANÁ 117 A  </t>
  </si>
  <si>
    <t>86020-360</t>
  </si>
  <si>
    <t>RUA SÃO BENEDITO, 107</t>
  </si>
  <si>
    <t>12600-010</t>
  </si>
  <si>
    <t>AP</t>
  </si>
  <si>
    <t>AV. CORIOLANO JUCA, 157 A</t>
  </si>
  <si>
    <t>CENTRAL</t>
  </si>
  <si>
    <t>68900-101</t>
  </si>
  <si>
    <t>AL</t>
  </si>
  <si>
    <t>RUA BARÃO DE PENEDO , Nº 197</t>
  </si>
  <si>
    <t>57020-340</t>
  </si>
  <si>
    <t>AV SAMPAIO VIDAL, Nº 851</t>
  </si>
  <si>
    <t>17525-040</t>
  </si>
  <si>
    <t xml:space="preserve">RUA SANTOS DUMONT  Nº 2905  LOJA 1 </t>
  </si>
  <si>
    <t>ZONA 1</t>
  </si>
  <si>
    <t>87013-050</t>
  </si>
  <si>
    <t>87013-210</t>
  </si>
  <si>
    <t>RUA RUI BARBOSA, 35</t>
  </si>
  <si>
    <t>MAUA</t>
  </si>
  <si>
    <t>09390-000</t>
  </si>
  <si>
    <t>RUA JOSÉ BONIFACIO, 178</t>
  </si>
  <si>
    <t>MOGI DAS CRUZES</t>
  </si>
  <si>
    <t>08710-070</t>
  </si>
  <si>
    <t>AV.RAMIRO BARCELOS Nº 1545 - SL 104</t>
  </si>
  <si>
    <t>95780-000</t>
  </si>
  <si>
    <t xml:space="preserve">RUA PASCOAL BERNARDINO, 231, LOJA C </t>
  </si>
  <si>
    <t>MURIAE</t>
  </si>
  <si>
    <t>36880-049</t>
  </si>
  <si>
    <t>RN</t>
  </si>
  <si>
    <t>AVENIDA DEODORO DA FONSECA 626</t>
  </si>
  <si>
    <t>59025-145</t>
  </si>
  <si>
    <t>RUA JOÃO PESSOA, Nº 219</t>
  </si>
  <si>
    <t>CIDADE ALTA</t>
  </si>
  <si>
    <t>59025-500</t>
  </si>
  <si>
    <t>AVENIDA AMARAL PEIXOTO 36, LOJA 03</t>
  </si>
  <si>
    <t>24020-074</t>
  </si>
  <si>
    <t>RUA DOM WALMOR, 11</t>
  </si>
  <si>
    <t>26215-219</t>
  </si>
  <si>
    <t>AV CALCADAO OSVALDO CRUZ, 127</t>
  </si>
  <si>
    <t>93510-015</t>
  </si>
  <si>
    <t>RUA BENTO GONÇALVES, 2423, SALA 01</t>
  </si>
  <si>
    <t>93510-000</t>
  </si>
  <si>
    <t>R  PRIMITIVA VIANCO , 657</t>
  </si>
  <si>
    <t>06016-008</t>
  </si>
  <si>
    <t>19900-041</t>
  </si>
  <si>
    <t>MA</t>
  </si>
  <si>
    <t>RODOVIA MA-201 (ESTRADA DE RIBAMAR) KM 7, Nº 7114</t>
  </si>
  <si>
    <t>BAIRRO TIJUPÁ QUEIMADO</t>
  </si>
  <si>
    <t>AVENIDA BARÃO DO RIO BRANCO, Nº 56</t>
  </si>
  <si>
    <t>88130-101</t>
  </si>
  <si>
    <t>TO</t>
  </si>
  <si>
    <t>QUADRA 104 SUL, RUA SE 01, N° 5, SALA 1,</t>
  </si>
  <si>
    <t xml:space="preserve">PLANO DIRETOR SUL </t>
  </si>
  <si>
    <t>77020-014</t>
  </si>
  <si>
    <t>TRAVESSA NOVE DE AGOSTO Nº 13</t>
  </si>
  <si>
    <t>CENTRO HISTORICO</t>
  </si>
  <si>
    <t>83203-006</t>
  </si>
  <si>
    <t>RUA CEL. CHICUTA, Nº 436, LOJA 8</t>
  </si>
  <si>
    <t>99010-051</t>
  </si>
  <si>
    <t xml:space="preserve">RUA SETE DE SETEMBRO, 240 </t>
  </si>
  <si>
    <t>96015-300</t>
  </si>
  <si>
    <t>PRAÇA JOSÉ BONIFÁCIO, 813</t>
  </si>
  <si>
    <t>13400-340</t>
  </si>
  <si>
    <t>RUA SANTOS DUMONT Nº 882.</t>
  </si>
  <si>
    <t>84010-360</t>
  </si>
  <si>
    <t xml:space="preserve">ROD RS 240 , 3526 - SL 05 (RODOCENTER) </t>
  </si>
  <si>
    <t>PORTAO</t>
  </si>
  <si>
    <t>93180-000</t>
  </si>
  <si>
    <t>AV. ASSIS BRASIL, 2654 - LOJA 07</t>
  </si>
  <si>
    <t>CRISTO REDENTOR</t>
  </si>
  <si>
    <t>91060-290</t>
  </si>
  <si>
    <t>AV ASSIS BRASIL, 2100 LOJA 16A GALERIA PASSO DA AR</t>
  </si>
  <si>
    <t>PASSO DA AREIA</t>
  </si>
  <si>
    <t>91010-002</t>
  </si>
  <si>
    <t>VIGÁRIO JOSE INÁCIO, 258</t>
  </si>
  <si>
    <t>CENTRO HISTÓRICO</t>
  </si>
  <si>
    <t>90020-100</t>
  </si>
  <si>
    <t>AV. AZENHA, 581</t>
  </si>
  <si>
    <t>AZENHA</t>
  </si>
  <si>
    <t>90160-001</t>
  </si>
  <si>
    <t xml:space="preserve">AV. BORGES DE MEDEIROS, 410 </t>
  </si>
  <si>
    <t>90020-022</t>
  </si>
  <si>
    <t>RUA OSVALDO ARANHA 924</t>
  </si>
  <si>
    <t>Bom Fim</t>
  </si>
  <si>
    <t>90035-191</t>
  </si>
  <si>
    <t>90010-220</t>
  </si>
  <si>
    <t>VIGARIO JOSE INACIO 258/260</t>
  </si>
  <si>
    <t>AV. BORGES DE MEDEIROS 410/8 ANDAR</t>
  </si>
  <si>
    <t>AVENIDA SENADOR SALGADO FILHO 230</t>
  </si>
  <si>
    <t>AV. BORGES DE MEDEIROS, 410,</t>
  </si>
  <si>
    <t>AV. BORGES DE MEDEIROS, 410, 12º ANDAR</t>
  </si>
  <si>
    <t>RUA BORGES DE MEDEIROS 410</t>
  </si>
  <si>
    <t>90020-023</t>
  </si>
  <si>
    <t>AV. CRISTÓVÃO COLOMBO, 1320</t>
  </si>
  <si>
    <t xml:space="preserve">FLORESTA </t>
  </si>
  <si>
    <t>90560-002</t>
  </si>
  <si>
    <t>AV.ASSIS BRASIL, 308</t>
  </si>
  <si>
    <t>SÃO JOAO</t>
  </si>
  <si>
    <t>91010-000</t>
  </si>
  <si>
    <t>AV. PROTASIO ALVES, 2492</t>
  </si>
  <si>
    <t>PETROPOLIS</t>
  </si>
  <si>
    <t>90410-006</t>
  </si>
  <si>
    <t>OCIAN</t>
  </si>
  <si>
    <t>11704-300</t>
  </si>
  <si>
    <t>AFOGADOS</t>
  </si>
  <si>
    <t>50770-000</t>
  </si>
  <si>
    <t>RUA DUQUE DE CAXIAS 201</t>
  </si>
  <si>
    <t>SANTO ANTONIO</t>
  </si>
  <si>
    <t>50010-290</t>
  </si>
  <si>
    <t>AV. NOVA RESENDE Nº 31, LOJA 01</t>
  </si>
  <si>
    <t>CAMPOS ELISEOS</t>
  </si>
  <si>
    <t>27542-130</t>
  </si>
  <si>
    <t>RUA AMADOR BUENO Nº 620</t>
  </si>
  <si>
    <t>14010-070</t>
  </si>
  <si>
    <t>Rua 04, 1143</t>
  </si>
  <si>
    <t>13500-170</t>
  </si>
  <si>
    <t>RUA SILVA CARDOSO 125, LOJA J</t>
  </si>
  <si>
    <t>BANGU</t>
  </si>
  <si>
    <t>21810-031</t>
  </si>
  <si>
    <t>AV. CESARIO DE MELO 3006, SALA 105 E 106</t>
  </si>
  <si>
    <t>23050-101</t>
  </si>
  <si>
    <t>TRAVESSA ALMERINDA FREITAS 41, LOJA B</t>
  </si>
  <si>
    <t>MADUREIRA</t>
  </si>
  <si>
    <t>21350-280</t>
  </si>
  <si>
    <t>RUA CONSTANÇA BARBOSA 96, LOJA E</t>
  </si>
  <si>
    <t>MEIER</t>
  </si>
  <si>
    <t>20735-090</t>
  </si>
  <si>
    <t>MARECHAL FLORIANO 290</t>
  </si>
  <si>
    <t>96200-380</t>
  </si>
  <si>
    <t>AV. BORGES DE MEDEIROS, 1909</t>
  </si>
  <si>
    <t>95690-000</t>
  </si>
  <si>
    <t>AV FLORES DA CUNHA, 1184 - SALA 101</t>
  </si>
  <si>
    <t>CARAZINHO</t>
  </si>
  <si>
    <t>99500-000</t>
  </si>
  <si>
    <t>RUA MARECHAL FLORIANO PEIXOTO 2401</t>
  </si>
  <si>
    <t>ROSARIO DO SUL</t>
  </si>
  <si>
    <t>97590-000</t>
  </si>
  <si>
    <t>BA</t>
  </si>
  <si>
    <t>SÃO GONÇALO, Nº 17 - LOJA 1</t>
  </si>
  <si>
    <t>CABULA</t>
  </si>
  <si>
    <t>41185-055</t>
  </si>
  <si>
    <t>ESTRADA DO COQUEIRO GRANDE, 21A</t>
  </si>
  <si>
    <t>FAZENDA GRANDE II</t>
  </si>
  <si>
    <t>41340-050</t>
  </si>
  <si>
    <t>FERNANDO TORRES, Nº 3 LOJA 3</t>
  </si>
  <si>
    <t>ITAPUÃ</t>
  </si>
  <si>
    <t>41635-470</t>
  </si>
  <si>
    <t xml:space="preserve">RUA DA BÉLGICA, 148 LOJA C </t>
  </si>
  <si>
    <t>COMERCIO</t>
  </si>
  <si>
    <t>40010-030</t>
  </si>
  <si>
    <t>COMÉRCIO</t>
  </si>
  <si>
    <t>RUA SÃO MARCOS, 56</t>
  </si>
  <si>
    <t>SÃO MARCOS</t>
  </si>
  <si>
    <t>41253-190</t>
  </si>
  <si>
    <t>Rua Tenente Coronel Brito,719</t>
  </si>
  <si>
    <t>96810-114</t>
  </si>
  <si>
    <t>AV. BRASILIA,  Nº 1838 LOJA 5</t>
  </si>
  <si>
    <t>SÃO BENEDITO</t>
  </si>
  <si>
    <t>33105-516</t>
  </si>
  <si>
    <t>RUA VENANCIO AIRES, Nº 1745 -LOJA B</t>
  </si>
  <si>
    <t>97010-003</t>
  </si>
  <si>
    <t>RUA CRISTÓVÃO COLOMBO, 325 - LOJA 01</t>
  </si>
  <si>
    <t>98780-106</t>
  </si>
  <si>
    <t>RUA PINHEIRO MACHADO, 2034</t>
  </si>
  <si>
    <t>SANTIAGO</t>
  </si>
  <si>
    <t>97700-215</t>
  </si>
  <si>
    <t>RUA CORONEL FRANCISCO AMARO, 267, SL 2 EDIF. FRANC</t>
  </si>
  <si>
    <t>SANTO ANDRE</t>
  </si>
  <si>
    <t>09020-250</t>
  </si>
  <si>
    <t>RUA 25 DE JULHO 584, SL 3</t>
  </si>
  <si>
    <t>98801-670</t>
  </si>
  <si>
    <t>AV.PAULO MACIEL DE MORAES 1040</t>
  </si>
  <si>
    <t>SANTO ANTONIO DA PATRULHA</t>
  </si>
  <si>
    <t>95500-000</t>
  </si>
  <si>
    <t>RUA FREI GASPAR, 83</t>
  </si>
  <si>
    <t>11010-090</t>
  </si>
  <si>
    <t>PRAÇA CESARIO ALVIM, 17</t>
  </si>
  <si>
    <t>SANTOS DUMONT</t>
  </si>
  <si>
    <t>36240-000</t>
  </si>
  <si>
    <t>RUA CANDIDO FALCÃO, Nº 1086</t>
  </si>
  <si>
    <t>97670-000</t>
  </si>
  <si>
    <t>RUA MANOEL COELHO, 325, LOJA 20</t>
  </si>
  <si>
    <t>SAO CAETANO DO SUL</t>
  </si>
  <si>
    <t>09510-110</t>
  </si>
  <si>
    <t>AV SÃO CARLOS, Nº 1175</t>
  </si>
  <si>
    <t>13560-010</t>
  </si>
  <si>
    <t>CORONEL SEZEFREDO Nº 791</t>
  </si>
  <si>
    <t>97300-222</t>
  </si>
  <si>
    <t>RUA OSVALDO ARANHA, 65</t>
  </si>
  <si>
    <t>SAO JERONIMO</t>
  </si>
  <si>
    <t>96700-000</t>
  </si>
  <si>
    <t>RUA: DINARTE DOMINGUES,543 LOJA 07</t>
  </si>
  <si>
    <t>88101-070</t>
  </si>
  <si>
    <t>AV. GONÇALVES DIAS 711, SALA 02</t>
  </si>
  <si>
    <t>65110-000</t>
  </si>
  <si>
    <t xml:space="preserve">GENERAL GLICÉRIO Nº 3181 </t>
  </si>
  <si>
    <t>15015-400</t>
  </si>
  <si>
    <t>RUA SETE DE SETEMBRO N° 290 2°ANDAR SALA 24</t>
  </si>
  <si>
    <t>12210-260</t>
  </si>
  <si>
    <t>RUA DR. MARCELINO NOGUEIRA 190</t>
  </si>
  <si>
    <t>83005-370</t>
  </si>
  <si>
    <t>RUA INDEPENDENCIA, 636 - LOJA 6</t>
  </si>
  <si>
    <t>93010-002</t>
  </si>
  <si>
    <t>RUA LINDOLFO COLLOR, Nº 789 SALA 1</t>
  </si>
  <si>
    <t>93010-080</t>
  </si>
  <si>
    <t>MEDIANEIRA</t>
  </si>
  <si>
    <t>96170-000</t>
  </si>
  <si>
    <t>AV. JOAO PESSOA 182</t>
  </si>
  <si>
    <t>JOAO PAULO</t>
  </si>
  <si>
    <t>64040-000</t>
  </si>
  <si>
    <t>RUA DO SOL , 585</t>
  </si>
  <si>
    <t>65020-590</t>
  </si>
  <si>
    <t>AV. GUARAJARAS, Nº 30, Shopping Marajo LJ 07</t>
  </si>
  <si>
    <t>TIRIRICAL</t>
  </si>
  <si>
    <t>65055-285</t>
  </si>
  <si>
    <t>RUA GREGORIO RAMALHO, 71</t>
  </si>
  <si>
    <t>ITAQUERA</t>
  </si>
  <si>
    <t>08210-430</t>
  </si>
  <si>
    <t>AVENIDA MATEO BEI, 2541</t>
  </si>
  <si>
    <t>SÃO MATEUS</t>
  </si>
  <si>
    <t>03949-012</t>
  </si>
  <si>
    <t>01010-000</t>
  </si>
  <si>
    <t>AV. MARECHAL TITO, 1000</t>
  </si>
  <si>
    <t>SAO MIGUEL PAULISTA</t>
  </si>
  <si>
    <t>08010-090</t>
  </si>
  <si>
    <t>RUA: PADRE JOÃO,  257</t>
  </si>
  <si>
    <t>PENHA</t>
  </si>
  <si>
    <t>03637-000</t>
  </si>
  <si>
    <t>TATUAPE</t>
  </si>
  <si>
    <t>03307-005</t>
  </si>
  <si>
    <t>RUA DOUTOR CAMPOS MOURA , 99 SALA 1</t>
  </si>
  <si>
    <t xml:space="preserve">ARTHUR ALVIM </t>
  </si>
  <si>
    <t>03568-010</t>
  </si>
  <si>
    <t>RUA JOAO MENDES JUNIOR 63 SALA 05</t>
  </si>
  <si>
    <t>07910-210</t>
  </si>
  <si>
    <t>RUA PADRE MARÇAL, 55</t>
  </si>
  <si>
    <t>SAO ROQUE</t>
  </si>
  <si>
    <t>18130-100</t>
  </si>
  <si>
    <t>RUA JACOB EMERICK, 393 LOJA 2</t>
  </si>
  <si>
    <t>11310-010</t>
  </si>
  <si>
    <t>AV VINTE DE SETEMBRO, 3801 SALA 06</t>
  </si>
  <si>
    <t>93800-238</t>
  </si>
  <si>
    <t>93220-100</t>
  </si>
  <si>
    <t xml:space="preserve">AVENIDA SAPUCAIA, 2089 </t>
  </si>
  <si>
    <t>93210-240</t>
  </si>
  <si>
    <t>RÔMULO CASTELO, Nº. 18, LOJA 01 B</t>
  </si>
  <si>
    <t>29176-080</t>
  </si>
  <si>
    <t>SOLEDADE</t>
  </si>
  <si>
    <t>99300-000</t>
  </si>
  <si>
    <t>ANTONIO DO VALE MELLO Nº 658</t>
  </si>
  <si>
    <t>13170-010</t>
  </si>
  <si>
    <t>RUA GERERAL FRANCISCO GLICERIO 950</t>
  </si>
  <si>
    <t>08674-002</t>
  </si>
  <si>
    <t>AV. ASSIS BRASIL, 371 LOJA 2</t>
  </si>
  <si>
    <t>TAPES</t>
  </si>
  <si>
    <t>96760-000</t>
  </si>
  <si>
    <t>12010-010</t>
  </si>
  <si>
    <t>PI</t>
  </si>
  <si>
    <t>RUA 24 DE JANEIRO 265, LJ 8</t>
  </si>
  <si>
    <t>CENTRO/NORTE</t>
  </si>
  <si>
    <t>64000-235</t>
  </si>
  <si>
    <t>BARROSO, Nº 151</t>
  </si>
  <si>
    <t>64000-130</t>
  </si>
  <si>
    <t>sete de setembro  n 1218</t>
  </si>
  <si>
    <t>85900-220</t>
  </si>
  <si>
    <t>XV DE NOVEMBRO 212 LOJA 01</t>
  </si>
  <si>
    <t>TORRES</t>
  </si>
  <si>
    <t>95560-000</t>
  </si>
  <si>
    <t>FERNANDES BASTOS 329 SALA 28 E 29</t>
  </si>
  <si>
    <t>TRAMANDAI</t>
  </si>
  <si>
    <t>95590-000</t>
  </si>
  <si>
    <t>RUA MUNDO NOVO 188</t>
  </si>
  <si>
    <t>TRES COROAS</t>
  </si>
  <si>
    <t>95660-000</t>
  </si>
  <si>
    <t>RUA GETÚLIO VARGAS,  Nº 1087</t>
  </si>
  <si>
    <t>TRES PASSOS</t>
  </si>
  <si>
    <t>98600-000</t>
  </si>
  <si>
    <t>AV RODOVALHO, 12 SALA 02</t>
  </si>
  <si>
    <t>88701-170</t>
  </si>
  <si>
    <t>RUA CRISTIANO ROÇAS, 204 , LOJA 01</t>
  </si>
  <si>
    <t>UBA</t>
  </si>
  <si>
    <t>36500-000</t>
  </si>
  <si>
    <t>ZONA I</t>
  </si>
  <si>
    <t>RUA TREZE DE MAIO, 155, SALA 01 E 03</t>
  </si>
  <si>
    <t>VALINHOS</t>
  </si>
  <si>
    <t>13270-020</t>
  </si>
  <si>
    <t>RUA OSVALDO ARANHA, 1268</t>
  </si>
  <si>
    <t>95800-000</t>
  </si>
  <si>
    <t>RUA: CORONEL MARCOS DE ANDRADE, 437</t>
  </si>
  <si>
    <t>94410-050</t>
  </si>
  <si>
    <t>RUA DOUTOR MILTON BANDEIRA, 111, LOJA 06</t>
  </si>
  <si>
    <t>VICOSA</t>
  </si>
  <si>
    <t>36570-172</t>
  </si>
  <si>
    <t>GLORIA</t>
  </si>
  <si>
    <t>29122-036</t>
  </si>
  <si>
    <t>RUA GONÇALVES DIAS, 20 - LOJA 02</t>
  </si>
  <si>
    <t>29010-130</t>
  </si>
  <si>
    <t>RUA GUSTAVO LIRA 334 , LOJA 02,04,05</t>
  </si>
  <si>
    <t>27253-280</t>
  </si>
  <si>
    <t>RUA SAGRES, 27, LOJA 27</t>
  </si>
  <si>
    <t>RETIRO</t>
  </si>
  <si>
    <t>AV BEZERRA DE MENEZES, Nº 2152</t>
  </si>
  <si>
    <t>SÃO GERARDO</t>
  </si>
  <si>
    <t>60325-901</t>
  </si>
  <si>
    <t xml:space="preserve">AV OSVALDO ARANHA, 1394 </t>
  </si>
  <si>
    <t>BOM FIM</t>
  </si>
  <si>
    <t>Contagem de LOJA</t>
  </si>
  <si>
    <t>RUA SÃO CRISTÓVÃO, 402</t>
  </si>
  <si>
    <t>49010-380</t>
  </si>
  <si>
    <t xml:space="preserve">ARACAJU </t>
  </si>
  <si>
    <t>LOJA ARACAJU/SE</t>
  </si>
  <si>
    <t>LOJA ARACAJU - SE</t>
  </si>
  <si>
    <t>LOJA ANJO DA GUARDA - MA</t>
  </si>
  <si>
    <t>LOJA ANJO DA GUARDA/MA</t>
  </si>
  <si>
    <t>DATA ABERt.</t>
  </si>
  <si>
    <t>LUCIANE DA SILVA FONSECA PINHEIRO</t>
  </si>
  <si>
    <t>LOJA BRAGANÇA - PA</t>
  </si>
  <si>
    <t>68600-000</t>
  </si>
  <si>
    <t>TRAVESSA VIGÁRIO MOTA Nº 10</t>
  </si>
  <si>
    <t xml:space="preserve">BRAGANÇA </t>
  </si>
  <si>
    <t>LOSANGELA HONORIO DE OLIVEIRA</t>
  </si>
  <si>
    <t>LOJA LAURO DE FREITAS - BA</t>
  </si>
  <si>
    <t>LOJA LAURO DE FREITAS/BA</t>
  </si>
  <si>
    <t>FERNANDA APARECIDA TOMAZINI</t>
  </si>
  <si>
    <t>ALISSON MONEGO PEREIRA</t>
  </si>
  <si>
    <t>(Vários itens)</t>
  </si>
  <si>
    <t>SÃO LUIS</t>
  </si>
  <si>
    <t>CALL CENTER - DEBITO DIGITAL 1498</t>
  </si>
  <si>
    <t>CALL CENTER - FGTS 1493</t>
  </si>
  <si>
    <t>CALL CENTER PRODUTOS E SERVIÇOS II 1491</t>
  </si>
  <si>
    <t>CALL CENTER PRODUTOS E SERVIÇOS III 1492</t>
  </si>
  <si>
    <t>CALL CENTER PRODUTOS E SERVIÇOS IV 149400</t>
  </si>
  <si>
    <t>CALL CENTER PRODUTOS E SERVIÇOS IX 149800</t>
  </si>
  <si>
    <t>CALL CENTER PRODUTOS E SERVIÇOS VI 149700</t>
  </si>
  <si>
    <t>CALL CENTER PRODUTOS E SERVIÇOS VII 1495</t>
  </si>
  <si>
    <t>CALL CENTER PRODUTOS E SERVIÇOS VIII 149600</t>
  </si>
  <si>
    <t>CALL CENTER SIAPE - RS 1499</t>
  </si>
  <si>
    <t>CALL CENTER PRODUTOS E SERVIÇOS V 149500</t>
  </si>
  <si>
    <t>LOJA MANAUS - ALVORADA - AM</t>
  </si>
  <si>
    <t>LOJA MANAUS - EDUCANDOS - AM</t>
  </si>
  <si>
    <t>AM</t>
  </si>
  <si>
    <t>LOJA MANAUS - CHAPADA - AM</t>
  </si>
  <si>
    <t>LOJA MANAUS - CIDADE NOVA - AM</t>
  </si>
  <si>
    <t>LOJA MANAUS - COMPENSA - AM</t>
  </si>
  <si>
    <t xml:space="preserve">LOJA MANAUS - SAO JOSE OPERARIO - AM </t>
  </si>
  <si>
    <t>WHANDERSON MATHEUS ARAUJO DA COSTA</t>
  </si>
  <si>
    <t>LAURO DE FREITAS</t>
  </si>
  <si>
    <t>PAÇO DO LUMIAR</t>
  </si>
  <si>
    <t>PRAÇA MARTINIANO MAIA 181 A</t>
  </si>
  <si>
    <t>RUA VIGARIO JOSE INACIO, 258 / 260</t>
  </si>
  <si>
    <t>AVENIDA MOÇAMBIQUE, 05</t>
  </si>
  <si>
    <t>ANJO DA GUARDA</t>
  </si>
  <si>
    <t>SE</t>
  </si>
  <si>
    <t>QTD LOJA</t>
  </si>
  <si>
    <t>STELLA CORDEIRO ALVES</t>
  </si>
  <si>
    <t>ALVORADA</t>
  </si>
  <si>
    <t>CHAPADA</t>
  </si>
  <si>
    <t>CIDADE NOVA</t>
  </si>
  <si>
    <t>COMPENSA</t>
  </si>
  <si>
    <t>EDUCANDOS</t>
  </si>
  <si>
    <t>MANAUS</t>
  </si>
  <si>
    <t>SÃO JOSÉ</t>
  </si>
  <si>
    <t>LOJA SANTA RITA - PB</t>
  </si>
  <si>
    <t>FABIOLA DAL ROSSO</t>
  </si>
  <si>
    <t>LOJA NATAL - CIDADE ALTA - RN</t>
  </si>
  <si>
    <t>LOJA NATAL - RN</t>
  </si>
  <si>
    <t>JESSICA DIAS ZUCHINALI SANTANA</t>
  </si>
  <si>
    <t>ARISON SAM DE OLIVEIRA NEVES</t>
  </si>
  <si>
    <t>BRUNA KETLYN HELLGREN DE MOURA</t>
  </si>
  <si>
    <t>JULIANA MARCELLO</t>
  </si>
  <si>
    <t>MAGDA LUISA DA SILVA</t>
  </si>
  <si>
    <t>DAIANE DA SILVA SOARES</t>
  </si>
  <si>
    <t>Sem supervisor</t>
  </si>
  <si>
    <t>SAMARA CAROLINE FERREIRA</t>
  </si>
  <si>
    <t>DAYANE MENDES LEONEL MARCELINO</t>
  </si>
  <si>
    <t>LUCIENE DOS SANTOS CARLOS</t>
  </si>
  <si>
    <t>GEISA PEREIRA DE SOUSA</t>
  </si>
  <si>
    <t>VANESSA ANDRADE LIMA DE SOUZA</t>
  </si>
  <si>
    <t>ANDERSON SANDERSON TURELA</t>
  </si>
  <si>
    <t>ALINE SAULIT DA SILVEIRA</t>
  </si>
  <si>
    <t/>
  </si>
  <si>
    <t>TIEREN ROQUE IUNG</t>
  </si>
  <si>
    <t>EDSON JOEL CAVALHEIRO</t>
  </si>
  <si>
    <t>ANA PAULA BAGETI</t>
  </si>
  <si>
    <t>LUCIMARA ROSALDA EICH</t>
  </si>
  <si>
    <t>JESSICA RODRIGUES BENCKE GUTERRES</t>
  </si>
  <si>
    <t>JESSICA DE ALMEIDA OLIVEIRA</t>
  </si>
  <si>
    <t>DEBORA MENDES DE FREITAS</t>
  </si>
  <si>
    <t>SARA GRACIELE DE OLIVEIRA VELASQUES</t>
  </si>
  <si>
    <t>DEBORA LOPES FROHNHOFER</t>
  </si>
  <si>
    <t>SIDIANE FALCAO ARDAIS</t>
  </si>
  <si>
    <t>JESSICA VENUTA DE RODRIGUES NEVES</t>
  </si>
  <si>
    <t>ELIZANGELA DE OLIVEIRA WITT</t>
  </si>
  <si>
    <t>LEONARA FABRICIA DOS SANTOS</t>
  </si>
  <si>
    <t>JONAS DIAS DA SILVEIRA</t>
  </si>
  <si>
    <t>CASSIA DA SILVA SILVEIRA</t>
  </si>
  <si>
    <t>DEBORA DAIANA MARTINI</t>
  </si>
  <si>
    <t>LUCAS GABRIEL FAGUNDES DE SOUZA DA SILVA</t>
  </si>
  <si>
    <t>KAREN FRANCIELEN RODRIGUES JARDIM</t>
  </si>
  <si>
    <t>LUIZ HENRIQUE BRANDALIZE</t>
  </si>
  <si>
    <t>JULIE BARBOSA</t>
  </si>
  <si>
    <t>MIKE SANTOLIN DA SILVA</t>
  </si>
  <si>
    <t>RAFAEL LEMOS</t>
  </si>
  <si>
    <t>FABIELI DE ARAUJO VIEIRA MARTINS</t>
  </si>
  <si>
    <t>JIANINI DA SILVA MARIN</t>
  </si>
  <si>
    <t>JESSICA LUANA SIQUEIRA COELHO</t>
  </si>
  <si>
    <t>ALEX SANDER MAUZER MACEDO</t>
  </si>
  <si>
    <t xml:space="preserve">FERNANDA COSTA DA ROCHA </t>
  </si>
  <si>
    <t>MARISANGELA SCHIEFELBEIN</t>
  </si>
  <si>
    <t>MAGLUSON SCHARDONG MATOZO</t>
  </si>
  <si>
    <t>BRUNA DE ARAUJO VIEIRA DA ROSA</t>
  </si>
  <si>
    <t>JOSE ULISSES FELIX DA SILVA</t>
  </si>
  <si>
    <t>CINDY MAGALI DE SANTO DELGADO</t>
  </si>
  <si>
    <t>SIDNEY GOMES JUNIOR</t>
  </si>
  <si>
    <t>LETICIA URBANO DE JESUS NEVES</t>
  </si>
  <si>
    <t>ELAINE CRISTINA ALVES DA SILVA</t>
  </si>
  <si>
    <t>SILVANA DE FATIMA CENCI</t>
  </si>
  <si>
    <t>JOAO GABRIEL SANTANA SANTOS</t>
  </si>
  <si>
    <t>DARLANE MACEDO FRAGA</t>
  </si>
  <si>
    <t>KAREN GOMES DE OLIVEIRA</t>
  </si>
  <si>
    <t>HEVELINS CARVALHO DA SILVA</t>
  </si>
  <si>
    <t>NATALIA NOVELLI</t>
  </si>
  <si>
    <t>LIDIA BRUNA AMADEU XAVIER</t>
  </si>
  <si>
    <t>EVA MONICA RAFAELA ALVES</t>
  </si>
  <si>
    <t>ROSEMEIRE GUERRERO NEVES</t>
  </si>
  <si>
    <t>JEFERSON CARLOS BOA PIMENTA</t>
  </si>
  <si>
    <t>THAINA MARCHI CONEJO</t>
  </si>
  <si>
    <t>VITORIA FAION STETER</t>
  </si>
  <si>
    <t>NORIVAL JUNIOR PIRRI</t>
  </si>
  <si>
    <t>MYLENA CRISTINA PINHEIRO</t>
  </si>
  <si>
    <t>CRISTIANE DE LATORRE JODAS</t>
  </si>
  <si>
    <t>FABIANA DO NASCIMENTO VIEIRA PRIMO</t>
  </si>
  <si>
    <t>CARLA ALVES ALBUQUERQUE CARNEIRO</t>
  </si>
  <si>
    <t>KAMILA TAUBALD</t>
  </si>
  <si>
    <t>SIDNEY DOS SANTOS ROSA</t>
  </si>
  <si>
    <t>NATALIA DE SOUZA</t>
  </si>
  <si>
    <t>JULIA DE ALMEIDA SILVA</t>
  </si>
  <si>
    <t>ANA CAROLINA RIBEIRO</t>
  </si>
  <si>
    <t>IZABEL CRISTINA SILVEIRA</t>
  </si>
  <si>
    <t>PEDRO HENRIQUE BATISTA DA COSTA</t>
  </si>
  <si>
    <t>SUZIANNE FERNANDES DE MORAIS</t>
  </si>
  <si>
    <t>CAMILA ANAIR MOREIRA</t>
  </si>
  <si>
    <t>EVELYN SUZAN CONCEICAO SENA</t>
  </si>
  <si>
    <t>PATRICIA GOMES JEREMIAS</t>
  </si>
  <si>
    <t>CARLOS ALBERTO PIRANI JUNIOR</t>
  </si>
  <si>
    <t>MIRIAM DE SALLES BARBIERI</t>
  </si>
  <si>
    <t>NICOLE CRISTINA MENDES</t>
  </si>
  <si>
    <t>ANDRESSA CRISTINA FERREIRA DA SILVA DE SOUZA</t>
  </si>
  <si>
    <t>INDIAMARA CAMARGO DE PAULA</t>
  </si>
  <si>
    <t>CLEONICE VIANA DE JESUS</t>
  </si>
  <si>
    <t>KAIQUE FERNANDO GRANUCCI</t>
  </si>
  <si>
    <t>PATRICIA IGNACIO ANTUNES</t>
  </si>
  <si>
    <t xml:space="preserve">PATRICIA SOARES DE OLIVEIRA </t>
  </si>
  <si>
    <t>FRANCINE ANSELMO RUDEK</t>
  </si>
  <si>
    <t>KAMILA TARIGA DE MATTOS</t>
  </si>
  <si>
    <t>ALEXANDRE PRADO BARBOSA</t>
  </si>
  <si>
    <t>BRUNA PIRES AZEREDO</t>
  </si>
  <si>
    <t>CINTIA POSSAMAI DA SILVA</t>
  </si>
  <si>
    <t>JESSICA FERREIRA ANTUNES</t>
  </si>
  <si>
    <t>FERNANDA RODRIGUES SOARES</t>
  </si>
  <si>
    <t>CAROLINE VENTURINI</t>
  </si>
  <si>
    <t>SARA LETICIA FREITAS RODRIGUES PIEDADE</t>
  </si>
  <si>
    <t>BRUNA OLIVEIRA FERREIRA</t>
  </si>
  <si>
    <t>PEDRO SEVERO DOS SANTOS</t>
  </si>
  <si>
    <t>BETINA INES SCHAEFER</t>
  </si>
  <si>
    <t>PAULO RICARDO PINTO JUNIOR</t>
  </si>
  <si>
    <t>MAIHARA FONTOURA VIEIRA</t>
  </si>
  <si>
    <t>GRASIELA PEREIRA SANTIAGO DIAS</t>
  </si>
  <si>
    <t>EDUARDA VENTURA BOGADO</t>
  </si>
  <si>
    <t>ARIADNE DE SENNA POLTOZI</t>
  </si>
  <si>
    <t>DANIELE CRISTINE ROSA</t>
  </si>
  <si>
    <t>VIVIAN AZAMBUJA CARNEIRO</t>
  </si>
  <si>
    <t>MARIA LUIZA NUNES TOLOMEOTTI</t>
  </si>
  <si>
    <t>LUIS ROGERIO DE OLIVEIRA</t>
  </si>
  <si>
    <t>PAULO ROBERTO FLORES DE SOUZA</t>
  </si>
  <si>
    <t>PAMELA DA CONCEICAO DA SILVA</t>
  </si>
  <si>
    <t>GISLAINE ELIAS DOS SANTOS</t>
  </si>
  <si>
    <t>EDEILSO COSTA MELO</t>
  </si>
  <si>
    <t>FRANCIELY VANESSA DE SOUZA GARCIA</t>
  </si>
  <si>
    <t>ANDREY COSTA DA ROCHA</t>
  </si>
  <si>
    <t>CLAUDIA BEATRIZ LACERDA SCHIAVON</t>
  </si>
  <si>
    <t>NAYANE BORGES</t>
  </si>
  <si>
    <t>FRANCIELI FORTE SUBTIL DA SILVA</t>
  </si>
  <si>
    <t>PAULO LINDEMBERG GOMES DO AMARAL</t>
  </si>
  <si>
    <t>IRANILDA ARAUJO DE FREITAS</t>
  </si>
  <si>
    <t>RUTH EMANUELA ALVES JORGE</t>
  </si>
  <si>
    <t>RODRIGO GONZAGA CONCEICAO</t>
  </si>
  <si>
    <t>ROSECLEIDE ALVES BARBOSA</t>
  </si>
  <si>
    <t>LIDIANE RUTE VELOSO DOS SANTOS</t>
  </si>
  <si>
    <t>MAINARA ALVES DOS SANTOS</t>
  </si>
  <si>
    <t>JESSICA ANDRADE DOS SANTOS</t>
  </si>
  <si>
    <t>JOSE WELLINGTON DE SOUSA COSTA</t>
  </si>
  <si>
    <t>ADRIANE SANTOS RIBEIRO</t>
  </si>
  <si>
    <t>THAISA MARY COSTA DE OLIVEIRA</t>
  </si>
  <si>
    <t>MARILIA TERCIA DA SILVA BRITO</t>
  </si>
  <si>
    <t>HERCULANO ALVES DOS SANTOS</t>
  </si>
  <si>
    <t>DANIELA MEDEIROS MONTEIRO DE OLIVEIRA</t>
  </si>
  <si>
    <t>DANILMA MATIAS DA SILVA</t>
  </si>
  <si>
    <t>DAYANNE COSTA CHAVES</t>
  </si>
  <si>
    <t>RUANA VIRGINIA DA SILVA SANTOS</t>
  </si>
  <si>
    <t>VANDERLANDIA FERREIRA ALVES VENANCIO</t>
  </si>
  <si>
    <t>THAISE SILVEIRA DOS SANTOS APOLINARIO</t>
  </si>
  <si>
    <t>MARCELA FERREIRA DOS PASSOS</t>
  </si>
  <si>
    <t>WILLIAM BONIATTI MENEGAT</t>
  </si>
  <si>
    <t>FLAVIA GRAZIELA MENDES BORGES</t>
  </si>
  <si>
    <t>TERESINHA DE JESUS FREITAS SOARES</t>
  </si>
  <si>
    <t>TASSIANA GARCIA MOURA</t>
  </si>
  <si>
    <t>VANESSA DOS SANTOS PINTO</t>
  </si>
  <si>
    <t>RAPHAEL CASCAES MARTHA</t>
  </si>
  <si>
    <t>ADRIELE FERNANDA VIEIRA DA SILVA</t>
  </si>
  <si>
    <t>GEOVANNA ALVES DE PAULA VAZ</t>
  </si>
  <si>
    <t>POLIANA MORAIS SILVA</t>
  </si>
  <si>
    <t>MEYRILANE SOUSA BARROS</t>
  </si>
  <si>
    <t>LAYANE JAYRA DA SILVA CARVALHO</t>
  </si>
  <si>
    <t>BIANCA NIUANE DIAS MESQUITA</t>
  </si>
  <si>
    <t>STEPHANIE FURTADO DE CARVALHO</t>
  </si>
  <si>
    <t>DARILENE SILVA BARROSO</t>
  </si>
  <si>
    <t>MARCIELE DA SILVA VIEIRA</t>
  </si>
  <si>
    <t>NAYRA BASTOS DA SILVA</t>
  </si>
  <si>
    <t>SUELEN TAVARES DE ARAUJO</t>
  </si>
  <si>
    <t>MARCELO HENRIQUE SILVA LOPES</t>
  </si>
  <si>
    <t>BIANCA GOMES MARCIANO SILVA</t>
  </si>
  <si>
    <t>KELLY TATIANY DE MELO</t>
  </si>
  <si>
    <t>SIMONE DE SOUZA SANTIAGO SANTOS</t>
  </si>
  <si>
    <t>CARLOS VINICIUS TEIXEIRA DE SOUZA</t>
  </si>
  <si>
    <t>VALDA CONCEICAO DE OLIVEIRA</t>
  </si>
  <si>
    <t>CARLOS VINICIUS TEIXEIRA FRANCA</t>
  </si>
  <si>
    <t>SABRINA DA SILVA SOUZA</t>
  </si>
  <si>
    <t>JUCILEA LIDIA JANUÁRIO</t>
  </si>
  <si>
    <t>JESSICA FERREIRA FIGUEIREDO</t>
  </si>
  <si>
    <t>LUCIANA VIEIRA PERON RODRIGUES</t>
  </si>
  <si>
    <t>JEAN CARLOS PEREIRA ASSIS</t>
  </si>
  <si>
    <t>ANTONIO STELYO DE ARAUJO BARBOSA</t>
  </si>
  <si>
    <t>SUELLEM DOS SANTOS SANTANA LIMA</t>
  </si>
  <si>
    <t>JAILTON ALVES DA SILVA</t>
  </si>
  <si>
    <t>ELIZANGELA SORAIA DOS SANTOS SILVA</t>
  </si>
  <si>
    <t>ELISANDREA CARVALHO VIDAL</t>
  </si>
  <si>
    <t>KELLY NASCIMENTO MATOS</t>
  </si>
  <si>
    <t>JORDANA DIAS DA SILVA</t>
  </si>
  <si>
    <t>DEBORA MARIANO DE ALMEIDA LIRA</t>
  </si>
  <si>
    <t>VANEIVA DE NOVAIS VIEIRA</t>
  </si>
  <si>
    <t>CAROLINE DOS SANTOS GOES</t>
  </si>
  <si>
    <t>DALILA LOPES DA SILVA</t>
  </si>
  <si>
    <t>BRUNO EDUARDO LIMA SILVA</t>
  </si>
  <si>
    <t>MARIA FERNANDA DE AVELLAR SPOSITO</t>
  </si>
  <si>
    <t>YASMIM APARECIDA DOS ANJOS PARANHOS</t>
  </si>
  <si>
    <t>DANIELE FERNANDES MARCONDES DE S. RIBEIRO</t>
  </si>
  <si>
    <t>DANIELLE MARIA FERREIRA DINIZ</t>
  </si>
  <si>
    <t>WILDSON ALVES FERREIRA</t>
  </si>
  <si>
    <t>SUELEN VIANA DOS SANTOS</t>
  </si>
  <si>
    <t>CAROLINA APARECIDA DE OLIVEIRA OLIMPIO</t>
  </si>
  <si>
    <t>DAIANE MARIANO DANTAS DE ARAUJO ESQUIVEL</t>
  </si>
  <si>
    <t>HELEN MAXIMIANO SANTOS</t>
  </si>
  <si>
    <t>LAURIANA MORAES DA CONCEICAO LEITE</t>
  </si>
  <si>
    <t>NATANE FELIX DE OLIVEIRA</t>
  </si>
  <si>
    <t>THAIS DE ABREU SANTOS</t>
  </si>
  <si>
    <t>MARILIA GABRIELA LOPES FARIA</t>
  </si>
  <si>
    <t>ROSILENE DA GLORIA MARTINS</t>
  </si>
  <si>
    <t>ANDREZA DA SILVA OLIVEIRA</t>
  </si>
  <si>
    <t>FERNANDA CRISTINA DOS SANTOS PEREIRA</t>
  </si>
  <si>
    <t>CAROLINA HERNANDES FLORIDO DE SOUZA</t>
  </si>
  <si>
    <t>RUA GIL STEIN FERREIRA, 303, SALA 1</t>
  </si>
  <si>
    <t xml:space="preserve">R. INDEPENDÊNCIA, 684 </t>
  </si>
  <si>
    <t>AV MAL FLORIANO PEIXOTO, 1063</t>
  </si>
  <si>
    <t>SANTANA Nº 2800</t>
  </si>
  <si>
    <t>RUA GUILHERME LAHN, 1282</t>
  </si>
  <si>
    <t>RUA: CEL. JOÃO CORRÊA, 23 LOJA 05</t>
  </si>
  <si>
    <t>RUA NOSSA SENHORA DAS VITORIAS, 79</t>
  </si>
  <si>
    <t>RUA DR VICENTE DE CARVALHO, 531 LOJA 4</t>
  </si>
  <si>
    <t>AV. DOUTOR ALTINO ARANTES, 180</t>
  </si>
  <si>
    <t>RUA SEBASTIÃO FERREIRA DOS SANTOS Nº 102, SALA 04</t>
  </si>
  <si>
    <t>RUA TUIUTI, 2179</t>
  </si>
  <si>
    <t>RUA AZEVEDO SOARES, 184, SALA 4</t>
  </si>
  <si>
    <t>RUA SÃO BENTO 315, LJ 17</t>
  </si>
  <si>
    <t>AV. SENADOR SALGADO FILHO 208</t>
  </si>
  <si>
    <t>AVENIDA TAMANDARÉ 655 LOJA 58</t>
  </si>
  <si>
    <t>Rua Pinheiro Machado nº 406</t>
  </si>
  <si>
    <t>DA PAZ, Nº 194</t>
  </si>
  <si>
    <t>AVENIDA DA IGUALDADE QD 095, LT 03</t>
  </si>
  <si>
    <t>AV. DESEMBARGADOR JOÃO MACHADO. Nº 340, LOJA B</t>
  </si>
  <si>
    <t>AV. DJALMA BATISTA, Nº 327</t>
  </si>
  <si>
    <t>RUA PROFESSOR FELIX VALOIS 63</t>
  </si>
  <si>
    <t>AV. BRASIL 45, LOJA D</t>
  </si>
  <si>
    <t>RUA LEOPOLDO PERES, 673</t>
  </si>
  <si>
    <t>AV. AUTAZ MIRIM, 5679</t>
  </si>
  <si>
    <t>TRAVESSA DJALMA DULTRA, Nº 542, LOJA 05 - TERREO</t>
  </si>
  <si>
    <t>RODOVIA CARLOS LINDEMBERG 799, LOJA</t>
  </si>
  <si>
    <t>RUA SACRAMENTO, 115, LOJA 02</t>
  </si>
  <si>
    <t>RUA SETE DE SETEMBRO 98, LOJA H</t>
  </si>
  <si>
    <t>RUA FRANCISCO GOMES DE AZEVEDO, 11, SALA 11 C</t>
  </si>
  <si>
    <t>CALL CENTER - DEBITO</t>
  </si>
  <si>
    <t>CALL CENTER INSS - RS</t>
  </si>
  <si>
    <t>COORDENADOR CALL CENTER PRODUTOS E SERVIÇOS</t>
  </si>
  <si>
    <t>95600-104</t>
  </si>
  <si>
    <t>99010-040</t>
  </si>
  <si>
    <t>97501-504</t>
  </si>
  <si>
    <t>20050-002</t>
  </si>
  <si>
    <t>AV. PRESIDENTE VARGAS, 351, LOJA 345</t>
  </si>
  <si>
    <t>AVENIDA BRASIL, 4140 SALA 4</t>
  </si>
  <si>
    <t>87501-070</t>
  </si>
  <si>
    <t xml:space="preserve"> </t>
  </si>
  <si>
    <t>SANTA RITA</t>
  </si>
  <si>
    <t>58300-390</t>
  </si>
  <si>
    <t>LOJA ALMENARA - MG</t>
  </si>
  <si>
    <t>RUA ALEIXO PARAGUASSU 158, LOJA 2</t>
  </si>
  <si>
    <t>ALMENARA</t>
  </si>
  <si>
    <t>39900-000</t>
  </si>
  <si>
    <t>LOJA BACABAL - MA</t>
  </si>
  <si>
    <t>RUA CARLOS  SARDINHA 121</t>
  </si>
  <si>
    <t>BACABAL</t>
  </si>
  <si>
    <t>65700-000</t>
  </si>
  <si>
    <t>LOJA EUNAPOLIS - BA</t>
  </si>
  <si>
    <t>AV. DOM PEDRO II 438</t>
  </si>
  <si>
    <t>EUNAPOLIS</t>
  </si>
  <si>
    <t>45821-020</t>
  </si>
  <si>
    <t>LOJA ILHEUS - BA</t>
  </si>
  <si>
    <t>RUA EUSTAQUIO BASTOS 51 TERREO</t>
  </si>
  <si>
    <t>ILHEUS</t>
  </si>
  <si>
    <t>45653-020</t>
  </si>
  <si>
    <t>LOJA ITABUNA - BA</t>
  </si>
  <si>
    <t>RUA PAULINO VIEIRA 197, SALA 07</t>
  </si>
  <si>
    <t>ITABUNA</t>
  </si>
  <si>
    <t>45600-170</t>
  </si>
  <si>
    <t>LOJA PORTO SEGURO - BA</t>
  </si>
  <si>
    <t>RUA PERO VAZ DE CAMINHA 475</t>
  </si>
  <si>
    <t>PORTO SEGURO</t>
  </si>
  <si>
    <t>45810-000</t>
  </si>
  <si>
    <t>LOJA VITORIA DA CONQUISTA - BA</t>
  </si>
  <si>
    <t>RUA FRANCISCO SANTOS 240, LOJA  02</t>
  </si>
  <si>
    <t>VITORIA DA CONQUISTA</t>
  </si>
  <si>
    <t>45000-375</t>
  </si>
  <si>
    <t>DIGSAC</t>
  </si>
  <si>
    <t>LOJA CHAPECO - SC</t>
  </si>
  <si>
    <t>LOJA ERECHIM - RS</t>
  </si>
  <si>
    <t>LOJA SÃO GABRIEL - RS</t>
  </si>
  <si>
    <t>LOJA TOLEDO - PR</t>
  </si>
  <si>
    <t>LOJA MANGABEIRA - PB</t>
  </si>
  <si>
    <t xml:space="preserve">LOJA SETOR CAMPINAS - GO </t>
  </si>
  <si>
    <t>LOJA NOVO HAMBURGO 2 - RS</t>
  </si>
  <si>
    <t>LOJA SALVADOR - COMERCIO</t>
  </si>
  <si>
    <t>LOJA CARUARU - PE</t>
  </si>
  <si>
    <t>LOJA CONTAGEM - MG</t>
  </si>
  <si>
    <t>LOJA SANTA LUZIA - MG</t>
  </si>
  <si>
    <t>LOJA NOVA IGUAÇU - RJ</t>
  </si>
  <si>
    <t>LOJA SANTA ROSA - RS</t>
  </si>
  <si>
    <t>LOJA BETIM - MG</t>
  </si>
  <si>
    <t>LOJA CACHOEIRO DE ITAPEMIRIM - ES</t>
  </si>
  <si>
    <t>LOJA LARANJEIRAS - ES</t>
  </si>
  <si>
    <t>LOJA PORTO ALEGRE - MARECHAL - RS</t>
  </si>
  <si>
    <t>LOJA PORTO ALEGRE - OTTO NIEMEYER - RS</t>
  </si>
  <si>
    <t>REGIÃO ADRIELE</t>
  </si>
  <si>
    <t>CALL CENTER PRODUTOS 149100</t>
  </si>
  <si>
    <t>CALL CENTER PRODUTOS E SERVICOS 11 149300</t>
  </si>
  <si>
    <t>CALL CENTER PRODUTOS E SERVICOS 17 149500</t>
  </si>
  <si>
    <t>CALL CENTER PRODUTOS E SERVICOS 12 149900</t>
  </si>
  <si>
    <t>CALL CENTER PRODUTOS E SERVICOS 10 149200</t>
  </si>
  <si>
    <t>TERESINA SOARES</t>
  </si>
  <si>
    <t>LOJA SAO GONCALO - RJ</t>
  </si>
  <si>
    <t>CALL CENTER PRODUTOS E SERVICOS 13 159100</t>
  </si>
  <si>
    <t>CALL CENTER PRODUTOS E SERVIÇOS 16 159400</t>
  </si>
  <si>
    <t>LOJA MARACANAU - CE</t>
  </si>
  <si>
    <t>LOJA MARANGUAPE - CE</t>
  </si>
  <si>
    <t>GUILHERME MATIAS COUTINHO</t>
  </si>
  <si>
    <t>VANUSA VALENTE DAL OSTO</t>
  </si>
  <si>
    <t>LOJA CAUCAIA - CE</t>
  </si>
  <si>
    <t>LOJA ARAUCARIA - PR</t>
  </si>
  <si>
    <t>LOJA BELO HORIZONTE - BARRO PRETO - MG</t>
  </si>
  <si>
    <t>LOJA BELO HORIZONTE - BETANIA - MG</t>
  </si>
  <si>
    <t>LOJA BELO HORIZONTE - VENDA NOVA - MG</t>
  </si>
  <si>
    <t>LOJA CAMPO LARGO - PR</t>
  </si>
  <si>
    <t>LOJA CANDEIAS - BA</t>
  </si>
  <si>
    <t>LOJA COLOMBO - PR</t>
  </si>
  <si>
    <t>LOJA FEIRA DE SANTANA - BA</t>
  </si>
  <si>
    <t>LOJA ITAPIPOCA - CE</t>
  </si>
  <si>
    <t>LOJA JUAZEIRO DO NORTE - CE</t>
  </si>
  <si>
    <t>LOJA PINHAIS - PR</t>
  </si>
  <si>
    <t>LOJA QUIXADA - CE</t>
  </si>
  <si>
    <t>LOJA QUIXERAMOBIM - CE</t>
  </si>
  <si>
    <t>LOJA SANTIAGO 1 - RS</t>
  </si>
  <si>
    <t>LOJA SANTO ANTONIO DE JESUS - BA</t>
  </si>
  <si>
    <t>LOJA SAO JOAO DEL REI - MG</t>
  </si>
  <si>
    <t>LOJA SOBRAL - CE</t>
  </si>
  <si>
    <t>LOJA VALENCA - BA</t>
  </si>
  <si>
    <t>LOJA VESPASIANO - MG</t>
  </si>
  <si>
    <t>AV. VICTOR DO AMARAL 139</t>
  </si>
  <si>
    <t>ARAUCARIA</t>
  </si>
  <si>
    <t>83702-040</t>
  </si>
  <si>
    <t>AV. AUGUSTO DE LIMA 1113, LOJA 119</t>
  </si>
  <si>
    <t>BARRO PRETO</t>
  </si>
  <si>
    <t>30190-002</t>
  </si>
  <si>
    <t>RUA URSULA PAULINO 1410, LOJA 7</t>
  </si>
  <si>
    <t>BETANIA</t>
  </si>
  <si>
    <t>30580-003</t>
  </si>
  <si>
    <t>RUA PADRE PEDRO PINTO, Nº 1.583/1.595, BLOCO 1</t>
  </si>
  <si>
    <t>VENDA NOVA</t>
  </si>
  <si>
    <t>31510-000</t>
  </si>
  <si>
    <t>AV VEREADOR ARLINDO CHEMIN 431</t>
  </si>
  <si>
    <t>CAMPO LARGO</t>
  </si>
  <si>
    <t>83601-070</t>
  </si>
  <si>
    <t>RUA 21 DE ABRIL 42 H</t>
  </si>
  <si>
    <t>CANDEIAS</t>
  </si>
  <si>
    <t>43805-160</t>
  </si>
  <si>
    <t>RUA ARQUIMEDES 18, SALA 08</t>
  </si>
  <si>
    <t>MARACANA</t>
  </si>
  <si>
    <t>COLOMBO</t>
  </si>
  <si>
    <t>83408-270</t>
  </si>
  <si>
    <t>RUA CONSELHEIRO FRANCO, 292</t>
  </si>
  <si>
    <t>FEIRA DE SANTANA</t>
  </si>
  <si>
    <t>44002-128</t>
  </si>
  <si>
    <t xml:space="preserve">RUA SETE DE SETEMBRO 67 </t>
  </si>
  <si>
    <t>ITAPIPOCA</t>
  </si>
  <si>
    <t>62500-031</t>
  </si>
  <si>
    <t>R. SANTA LUZIA, 294</t>
  </si>
  <si>
    <t>SAO MIGUEL</t>
  </si>
  <si>
    <t>JUAZEIRO DO NORTE</t>
  </si>
  <si>
    <t>63010-227</t>
  </si>
  <si>
    <t>AV. CAMILO DI LELLIS 348</t>
  </si>
  <si>
    <t>PINHAIS</t>
  </si>
  <si>
    <t>83323-000</t>
  </si>
  <si>
    <t>RUA JOSÉ DE QUEIROZ PESSOA 1449</t>
  </si>
  <si>
    <t>QUIXADA</t>
  </si>
  <si>
    <t>63900-000</t>
  </si>
  <si>
    <t>RUA MONS SALVIANO PINTO 461</t>
  </si>
  <si>
    <t>QUIXERAMOBIM</t>
  </si>
  <si>
    <t>63800-000</t>
  </si>
  <si>
    <t>RUA GETULIO VARGAS 1723 SALA 2</t>
  </si>
  <si>
    <t>97700-000</t>
  </si>
  <si>
    <t>TRAVESSA 07 DE SETEMBRO 100, LOJA 03</t>
  </si>
  <si>
    <t>SANTO ANTONIO DE JESUS</t>
  </si>
  <si>
    <t>44130-132</t>
  </si>
  <si>
    <t>TRAVESSA LOPES BAHIA 12, A</t>
  </si>
  <si>
    <t>SAO JOAO DEL REI</t>
  </si>
  <si>
    <t>36300-066</t>
  </si>
  <si>
    <t>TRAV DO XEREZ 118</t>
  </si>
  <si>
    <t>SOBRAL</t>
  </si>
  <si>
    <t>62010-270</t>
  </si>
  <si>
    <t>RUA GENERAL LABATUT 41</t>
  </si>
  <si>
    <t>VALENCA</t>
  </si>
  <si>
    <t>45400-000</t>
  </si>
  <si>
    <t>AVENIDA SEBASTIÃO FERNANDES 400</t>
  </si>
  <si>
    <t>VESPASIANO</t>
  </si>
  <si>
    <t>33200-979</t>
  </si>
  <si>
    <t>CALL CENTER PRODUTOS E SERVICOS XI 149300</t>
  </si>
  <si>
    <t>CALL CENTER PRODUTOS E SERVICOS XVII 149500</t>
  </si>
  <si>
    <t>CALL CENTER PRODUTOS E SERVICOS XII 149900</t>
  </si>
  <si>
    <t>CALL CENTER PRODUTOS E SERVICOS X 149200</t>
  </si>
  <si>
    <t>CALL CENTER PRODUTOS E SERVIÇOS XVI 159400</t>
  </si>
  <si>
    <t>LOJA CAMACARI - BA</t>
  </si>
  <si>
    <t>RUA ADELINA DE SÁ 305</t>
  </si>
  <si>
    <t>CAMACARI</t>
  </si>
  <si>
    <t>42800-051</t>
  </si>
  <si>
    <t>CALL CENTER PRODUTOS E SERVICOS XIV 159200</t>
  </si>
  <si>
    <t>LOJA BARBACENA - MG</t>
  </si>
  <si>
    <t>CODIGO</t>
  </si>
  <si>
    <t>FONE_COMERCIAL</t>
  </si>
  <si>
    <t>R DOUTOR MIGUEL LIMA VERDE  530</t>
  </si>
  <si>
    <t>CRATO</t>
  </si>
  <si>
    <t>63100-060</t>
  </si>
  <si>
    <t>LOJA CRATO - CE</t>
  </si>
  <si>
    <t>emailOperacional</t>
  </si>
  <si>
    <t>loja1400@factalojas.com.br;edson.rosa@factalojas.com.br</t>
  </si>
  <si>
    <t>loja1401@factalojas.com.br;graziele.ferreira@factalojas.com.br</t>
  </si>
  <si>
    <t>loja1402@factalojas.com.br;fernanda.rocha@factalojas.com.br;thamires.nascimento@facta.com.br</t>
  </si>
  <si>
    <t>loja1403@factalojas.com.br</t>
  </si>
  <si>
    <t>sue.ellen@factalojas.com.br;larissa.barboza@facta.com.br</t>
  </si>
  <si>
    <t>loja1407@factalojas.com.br</t>
  </si>
  <si>
    <t>loja1409@factalojas.com.br;larissa.barboza@facta.com.br</t>
  </si>
  <si>
    <t>loja1414@factalojas.com.br;amanda.teixeira@factalojas.com.br</t>
  </si>
  <si>
    <t>loja1416@factalojas.com.br</t>
  </si>
  <si>
    <t>loja417@factalojas.com.br;eliane.machado@factalojas.com.br;thamires.nascimento@facta.com.br</t>
  </si>
  <si>
    <t>loja418@factalojas.com.br;tamires.franca@factalojas.com.br;thamires.nascimento@facta.com.br</t>
  </si>
  <si>
    <t>loja1419@factalojas.com.br;bruna.vieira@factalojas.com.br;thamires.nascimento@facta.com.br</t>
  </si>
  <si>
    <t>loja1420@factalojas.com.br</t>
  </si>
  <si>
    <t>loja1421@factalojas.com.br;thamires.nascimento@facta.com.br</t>
  </si>
  <si>
    <t>loja1422@factalojas.com.br</t>
  </si>
  <si>
    <t>loja1423@factalojas.com.br</t>
  </si>
  <si>
    <t>loja1424@factalojas.com.br;david.kappel@factalojas.com.br</t>
  </si>
  <si>
    <t>loja1427@factalojas.com.br;lucas.silva@factalojas.com.br</t>
  </si>
  <si>
    <t>kamila.mattos@factalojas.com.br;larissa.barboza@facta.com.br</t>
  </si>
  <si>
    <t>loja1434@factalojas.com.br;emmanuel.fonseca@factalojas.com.br</t>
  </si>
  <si>
    <t>loja1435@factalojas.com.br;larissa.barboza@facta.com.br</t>
  </si>
  <si>
    <t>loja1436@factalojas.com.br</t>
  </si>
  <si>
    <t>paulo.ricardo@factalojas.com.br</t>
  </si>
  <si>
    <t>loja1439@factalojas.com.br;alex.macedo@factalojas.com.br</t>
  </si>
  <si>
    <t>loja1443@factalojas.com.br</t>
  </si>
  <si>
    <t>loja1444@factalojas.com.br;larissa.barboza@facta.com.br</t>
  </si>
  <si>
    <t>daniela.campara@facta.com.br</t>
  </si>
  <si>
    <t>loja1453@factalojas.com.br</t>
  </si>
  <si>
    <t>loja1458@facta.com.br;maisa.felten@factalojas.com.br;thamires.nascimento@facta.com.br</t>
  </si>
  <si>
    <t>loja1476@factalojas.com.br;thamires.nascimento@facta.com.br</t>
  </si>
  <si>
    <t>loja1478@factalojas.com.br</t>
  </si>
  <si>
    <t>fabiola.rosso@facta.com.br</t>
  </si>
  <si>
    <t>leonara.santos@factalojas.com.br;loja1487@factalojas.com.br</t>
  </si>
  <si>
    <t>loja1490@facta.com.br</t>
  </si>
  <si>
    <t>teresinha.soares@factacall.com.br</t>
  </si>
  <si>
    <t>tassiana.moura@factacall.com.br</t>
  </si>
  <si>
    <t>eder.almeida@facta.com.br</t>
  </si>
  <si>
    <t>elisabete.cardoso@facta.com.br;alisson.pereira@facta.com.br;luiz.medeiros@facta.com.br</t>
  </si>
  <si>
    <t>loja1496@factalojas.com.br;mike.santolin@factalojas.com.br</t>
  </si>
  <si>
    <t>tatiane.silva@factalojas.com.br;loja1497@factalojas.com.br</t>
  </si>
  <si>
    <t>EDER.ALMEIDA@FACTA.COM.BR</t>
  </si>
  <si>
    <t>alisson.pereira@facta.com.br</t>
  </si>
  <si>
    <t>carina.silva@factalojas.com.br</t>
  </si>
  <si>
    <t>loja1525@factalojas.com.br;vanessa.quadros@factalojas.com.br</t>
  </si>
  <si>
    <t>loja2222@factalojas.com.br</t>
  </si>
  <si>
    <t>luciane.silveira@factalojas.com.br;loja2802@factalojas.com.br</t>
  </si>
  <si>
    <t>loja2913@factalojas.com.br</t>
  </si>
  <si>
    <t>chaiany.julhano@factalojas.com.br</t>
  </si>
  <si>
    <t>loja2921@factalojas.com.br</t>
  </si>
  <si>
    <t>loja2945@factalojas.com.br;sara.lacerda@factalojas.com.br</t>
  </si>
  <si>
    <t>loja3800@factalojas.com.br</t>
  </si>
  <si>
    <t>loja3801@factalojas.com.br</t>
  </si>
  <si>
    <t>loja3802@factalojas.com.br</t>
  </si>
  <si>
    <t>loja3817@factalojas.com.br</t>
  </si>
  <si>
    <t>loja3827@factalojas.com.br</t>
  </si>
  <si>
    <t>contato.mg@factalojas.com.br</t>
  </si>
  <si>
    <t>loja5501@factalojas.com.br</t>
  </si>
  <si>
    <t>mylena.pinheiro@factalojas.com.br</t>
  </si>
  <si>
    <t>loja5503@factalojas.com.br</t>
  </si>
  <si>
    <t>loja5504@factalojas.com.br</t>
  </si>
  <si>
    <t>loja5506@facta.com.br</t>
  </si>
  <si>
    <t>cristiane.nunes@facta.com.br</t>
  </si>
  <si>
    <t>jose.sousa@factalojas.com.br</t>
  </si>
  <si>
    <t>naiane.bomjardim@factalojas.com.br;jose.sousa@facta.com.br</t>
  </si>
  <si>
    <t>jose.sousa@facta.com.br;fulvio.lacerda@factalojas.com.br</t>
  </si>
  <si>
    <t>ana.couto@factalojas.com.br;mayara.lopes@facta.com.br</t>
  </si>
  <si>
    <t>loja7755@factalojas.com.br</t>
  </si>
  <si>
    <t>loja7800@factalojas.com.br</t>
  </si>
  <si>
    <t>loja7815@factalojas.com.br</t>
  </si>
  <si>
    <t>jessica.andrade@factalojas.com.br</t>
  </si>
  <si>
    <t>loja8399@factalojas.com.br</t>
  </si>
  <si>
    <t>loja9360@factalojas.com.br;talita.santos@factalojas.com.br</t>
  </si>
  <si>
    <t>giselle.schneider@facta.com.br</t>
  </si>
  <si>
    <t>loja9368@factalojas.com.br</t>
  </si>
  <si>
    <t>loja9370@factalojas.com.br</t>
  </si>
  <si>
    <t>loja10200@factalojas.com.br</t>
  </si>
  <si>
    <t>fabiola.rosso@facta.com.br;loja10201@factalojas.com.br;jessica.guterres@factalojas.com.br</t>
  </si>
  <si>
    <t>loja10226@factalojas.com.br;larissa.barboza@facta.com.br</t>
  </si>
  <si>
    <t>jessica.neves@factalojas.com.br</t>
  </si>
  <si>
    <t>loja10331@factalojas.com.br</t>
  </si>
  <si>
    <t>loja10332@factalojas.com.br</t>
  </si>
  <si>
    <t>loja10333@factalojas.com.br</t>
  </si>
  <si>
    <t>debora.freitas@factalojas.com.br</t>
  </si>
  <si>
    <t>loja10627@factalojas.com.br;marisangela.schiefelbein@factalojas.com;thamires.nascimento@facta.com.br</t>
  </si>
  <si>
    <t>loja10650@factalojas.com.br</t>
  </si>
  <si>
    <t>loja10678@factalojas.com.br;thamires.nascimento@facta.com.br</t>
  </si>
  <si>
    <t>loja11304@factalojas.com.br</t>
  </si>
  <si>
    <t>dalila.silva@factalojas.com.br</t>
  </si>
  <si>
    <t>loja11950@factalojas.com.br</t>
  </si>
  <si>
    <t>lara.pereira@factalojas.com.br</t>
  </si>
  <si>
    <t>loja11963@factalojas.com.br</t>
  </si>
  <si>
    <t>loja12200@factalojas.com.br;eloi.junior@factalojas.com.br</t>
  </si>
  <si>
    <t>mayara.lopes@facta.com.br</t>
  </si>
  <si>
    <t>loja13900@factalojas.com.br</t>
  </si>
  <si>
    <t>meyrilane.barros@factalojas.com.br</t>
  </si>
  <si>
    <t>marcelo.lopes@factalojas.com.br</t>
  </si>
  <si>
    <t>loja14900@factalojas.com.br</t>
  </si>
  <si>
    <t>loja14932@factalojas.com.br</t>
  </si>
  <si>
    <t>adriele.silva@factalojas.com.br;loja15002@factalojas.com.br</t>
  </si>
  <si>
    <t>loja15361@factalojas.com.br</t>
  </si>
  <si>
    <t>loja17207@factalojas.com.br</t>
  </si>
  <si>
    <t>loja17500@factalojas.com.br</t>
  </si>
  <si>
    <t>loja17513@facta.com.br</t>
  </si>
  <si>
    <t>loja17514@factalojas.com.br</t>
  </si>
  <si>
    <t>loja18105@factalojas.com.br</t>
  </si>
  <si>
    <t>loja18900@factalojas.com.br</t>
  </si>
  <si>
    <t>loja18936@factalojas.com.br</t>
  </si>
  <si>
    <t>vanderlandia.alves@factalojas.com.br</t>
  </si>
  <si>
    <t>lucelia.brum@factalojas.com.br</t>
  </si>
  <si>
    <t>loja.19701@factalojas.com.br</t>
  </si>
  <si>
    <t>loja19705@factalojas.com.br</t>
  </si>
  <si>
    <t>loja19709@factalojas.com.br</t>
  </si>
  <si>
    <t>loja19714@factalojas.com.br</t>
  </si>
  <si>
    <t>loja19715@factalojas.com.br;vanessa.lasch@factalojas.com.br</t>
  </si>
  <si>
    <t>loja19277@factalojas.com.br</t>
  </si>
  <si>
    <t>loja19778@factalojas.com.br</t>
  </si>
  <si>
    <t>loja198900@factalojas.com.br</t>
  </si>
  <si>
    <t>loja19901@factalojas.com.br;larissa.barboza@facta.com.br</t>
  </si>
  <si>
    <t>loja19933@facta.com.br</t>
  </si>
  <si>
    <t>loja20085@factalojas.com.br</t>
  </si>
  <si>
    <t>loja20959@facta.com.br</t>
  </si>
  <si>
    <t>loja20987@factalojas.com.br</t>
  </si>
  <si>
    <t>loja20989@factalojas.com.br</t>
  </si>
  <si>
    <t>loja20990@factalojas.com.br</t>
  </si>
  <si>
    <t>loja22001@factalojas.com.br</t>
  </si>
  <si>
    <t>loja23001@factalojas.com.br</t>
  </si>
  <si>
    <t>marcio.almeida@factalojas.com.br;loja24009@factalojas.com.br</t>
  </si>
  <si>
    <t>loja30110@factalojas.com.br</t>
  </si>
  <si>
    <t>loja31174@factalojas.com.br</t>
  </si>
  <si>
    <t>loja31175@factalojas.com.br</t>
  </si>
  <si>
    <t>joao.braz@facta.com.br</t>
  </si>
  <si>
    <t>loja31226@factalojas.com.br</t>
  </si>
  <si>
    <t>loja31276@factalojas.com.br</t>
  </si>
  <si>
    <t>loja31353@factalojas.com.br</t>
  </si>
  <si>
    <t>loja31373@factalojas.com.br</t>
  </si>
  <si>
    <t>loja31381@factalojas.com.br</t>
  </si>
  <si>
    <t>loja31388@factalojas.com.br</t>
  </si>
  <si>
    <t>loja40324@factalojas.com.br</t>
  </si>
  <si>
    <t>loja40325@factalojas.com.br</t>
  </si>
  <si>
    <t>loja45017@factalojas.com.br</t>
  </si>
  <si>
    <t>loja45018@factalojas.com.br</t>
  </si>
  <si>
    <t>carlos.franca@factalojas.com.br; loja45034@factalojas.com.br</t>
  </si>
  <si>
    <t>loja49001@factalojas.com.br</t>
  </si>
  <si>
    <t>loja50400@factalojas.com.br</t>
  </si>
  <si>
    <t>loja50499@factalojas.com.br</t>
  </si>
  <si>
    <t>loja50550@factalojas.com.br;jucilene.andrade@facta.com.br</t>
  </si>
  <si>
    <t>loja50590@factalojas.com.br</t>
  </si>
  <si>
    <t>silvana@factalojas.com.br;loja50731@factalojas.com.br</t>
  </si>
  <si>
    <t>loja50733@factalojas.com.br</t>
  </si>
  <si>
    <t>loja50734@factalojas.com.br</t>
  </si>
  <si>
    <t>loja50809@factalojas.com.br</t>
  </si>
  <si>
    <t>loja50850@factalojas.com.br</t>
  </si>
  <si>
    <t>loja52012@factalojas.com.br</t>
  </si>
  <si>
    <t>loja53556@factalojas.com.br</t>
  </si>
  <si>
    <t>loja54444@factalojas.com.br</t>
  </si>
  <si>
    <t>loja54464@factalojas.com.br</t>
  </si>
  <si>
    <t>loja54465@factalojas.com.br</t>
  </si>
  <si>
    <t>loja54466@factalojas.com.br;leonardo.crispim@factalojas.com.br</t>
  </si>
  <si>
    <t>thaina.conejo@factalojas.com.br</t>
  </si>
  <si>
    <t>vitoria.steter@factalojas.com.br</t>
  </si>
  <si>
    <t>loja54469@factalojas.com.br;hevelins.silva@facta.com.br</t>
  </si>
  <si>
    <t>andrey.rocha@facta.com.br;loja54471@factalojas.com.br</t>
  </si>
  <si>
    <t>loja54512@factalojas.com.br;nicole.mendes@factalojas.com.br</t>
  </si>
  <si>
    <t>loja60007@factalojas.com.br</t>
  </si>
  <si>
    <t>loja60099@factalojas.com.br</t>
  </si>
  <si>
    <t>loja60494@factalojas.com.br</t>
  </si>
  <si>
    <t>loja60495@factalojas.com.br</t>
  </si>
  <si>
    <t>suelen.viana@factalojas.com.br</t>
  </si>
  <si>
    <t>loja60500@factalojas.com.br</t>
  </si>
  <si>
    <t>loja60501@factalojas.com.br</t>
  </si>
  <si>
    <t>loja60502@factalojas.com.br</t>
  </si>
  <si>
    <t>loja60503@factalojas.com.br</t>
  </si>
  <si>
    <t>loja60507@factalojas.com.br</t>
  </si>
  <si>
    <t>loja60900@factalojas.com.br</t>
  </si>
  <si>
    <t>thaysa.souza@facta.com.br</t>
  </si>
  <si>
    <t>maria.meneses@facta.com.br</t>
  </si>
  <si>
    <t>loja61049@factalojas.com.br</t>
  </si>
  <si>
    <t>dhougllas.filho@factalojas.com.br</t>
  </si>
  <si>
    <t>loja80969@factalojas.com.br</t>
  </si>
  <si>
    <t>loja81006@factalojas.com.br</t>
  </si>
  <si>
    <t>dayane.chaves@factalojas.com.br</t>
  </si>
  <si>
    <t>loja90900@factalojas.com.br</t>
  </si>
  <si>
    <t>loja92760@factalojas.com.br</t>
  </si>
  <si>
    <t>loja93826@factalojas.com.br</t>
  </si>
  <si>
    <t>milena.michels@facta.com.br</t>
  </si>
  <si>
    <t>loja94438@factalojas.com.br</t>
  </si>
  <si>
    <t>loja96328@factalojas.com.br</t>
  </si>
  <si>
    <t>rosely.dias@factalojas.com.br</t>
  </si>
  <si>
    <t>loja96330@factalojas.com.br</t>
  </si>
  <si>
    <t>karen.pereira@factalojas.com.br</t>
  </si>
  <si>
    <t>loja96713@factalojas.com.br</t>
  </si>
  <si>
    <t>bruno.eduardo@facta.com.br;mayara.lopes@facta.com.br</t>
  </si>
  <si>
    <t>loja96715@factalojas.com.br;herick.lima@factalojas.com.br</t>
  </si>
  <si>
    <t>loja97521@factalojas.com.br</t>
  </si>
  <si>
    <t>loja97538@factalojas.com.br</t>
  </si>
  <si>
    <t>loja97616@factalojas.com.br</t>
  </si>
  <si>
    <t>vanessa.pinto@factacall.com.br</t>
  </si>
  <si>
    <t>luiz.medeiros@facta.com.br;alisson.pereira@facta.com.br</t>
  </si>
  <si>
    <t>jady.galinati@factacall.com.br</t>
  </si>
  <si>
    <t>rodrigo.lopes@factacall.com.br;luiz.medeiros@facta.com.br;alisson.pereira@facta.com.br</t>
  </si>
  <si>
    <t>raphael.martha@factacall.com.br</t>
  </si>
  <si>
    <t>julia.kunde@factacall.com.br;alisson.pereira@facta.com.br</t>
  </si>
  <si>
    <t>kelly.matos@factalojas.com.br</t>
  </si>
  <si>
    <t>loja200020@factalojas.com.br</t>
  </si>
  <si>
    <t>loja200022@factalojas.com.br</t>
  </si>
  <si>
    <t>loja400010@factalojas.com.br</t>
  </si>
  <si>
    <t>loja400011@factalojas.com.br</t>
  </si>
  <si>
    <t>loja400012@factalojas.com.br</t>
  </si>
  <si>
    <t>loja400013@factalojas.com.br</t>
  </si>
  <si>
    <t>loja600046@factalojas.com.br</t>
  </si>
  <si>
    <t>wildson.ferreira@factalojas.com.br</t>
  </si>
  <si>
    <t>loja600055@factalojas.com.br</t>
  </si>
  <si>
    <t>loja600056@factalojas.com.br</t>
  </si>
  <si>
    <t>loja600064@factalojas.com.br</t>
  </si>
  <si>
    <t>loja600075@factalojas.com.br</t>
  </si>
  <si>
    <t>loja600076@factalojas.com.br;silvana@facta.com.br</t>
  </si>
  <si>
    <t>loja600077@factalojas.com.br</t>
  </si>
  <si>
    <t>loja600078@factalojas.com.br;leandra.silva@factalojas.com.br</t>
  </si>
  <si>
    <t>loja600079@factalojas.com.br</t>
  </si>
  <si>
    <t>loja600080@factalojas.com.br</t>
  </si>
  <si>
    <t>loja600081@factalojas.com.br;sidney.junior@factalojas.com.br</t>
  </si>
  <si>
    <t>loja600098@factalojas.com.br;sayda.melo@factalojas.com.br</t>
  </si>
  <si>
    <t>igor.lemos@facta.com.br;JOSIANE.SANTOS@FACTA.COM.BR</t>
  </si>
  <si>
    <t>loja601055@factalojas.com.br</t>
  </si>
  <si>
    <t>loja601057@factalojas.com.br</t>
  </si>
  <si>
    <t>loja6000024@factalojas.com.br</t>
  </si>
  <si>
    <t>jucilene.andrade@facta.com.br</t>
  </si>
  <si>
    <t>loja6000034@factalojas.com.br</t>
  </si>
  <si>
    <t>loja6000036@factalojas.com.br</t>
  </si>
  <si>
    <t>loja6000038@factalojas.com.br</t>
  </si>
  <si>
    <t>loja6000040@factalojas.com.br</t>
  </si>
  <si>
    <t>loja6000043@factalojas.com.br</t>
  </si>
  <si>
    <t>RUA DOUTOR THEOBALDO TOLENDAL 31</t>
  </si>
  <si>
    <t>BARBACENA</t>
  </si>
  <si>
    <t>36200-010</t>
  </si>
  <si>
    <t>LOJA GUAIUBA - CE</t>
  </si>
  <si>
    <t>LOJA DIVISOPOLIS - MG</t>
  </si>
  <si>
    <t>FERNANDA RODRIGUES MACHADO DE OLIVEIRA</t>
  </si>
  <si>
    <t>CALL CENTER PRODUTOS E SERVICOS XV SAC 159300</t>
  </si>
  <si>
    <t>LOJA IGUATU - CE</t>
  </si>
  <si>
    <t>LOJA PEDRA AZUL - MG</t>
  </si>
  <si>
    <t>CALL CENTER PRODUTOS E SERVICOS XIII SAC 159100</t>
  </si>
  <si>
    <t>ROSELY RAMALHO DA SILVA DIAS</t>
  </si>
  <si>
    <t>LOJA TRES RIOS - RJ</t>
  </si>
  <si>
    <t>LOJA DIAS DAVILA - BA</t>
  </si>
  <si>
    <t>LOJA JEQUIE - BA</t>
  </si>
  <si>
    <t>LOJA JARU - RO</t>
  </si>
  <si>
    <t>RO</t>
  </si>
  <si>
    <t>LOJA JI PARANA - RO</t>
  </si>
  <si>
    <t>LOJA ARIQUEMES - RO</t>
  </si>
  <si>
    <t>KAICK FERNANDES PEIXOTO</t>
  </si>
  <si>
    <t>LOJA MARABÁ - PA</t>
  </si>
  <si>
    <t>LOJA DE AÇAILÂNDIA - MA</t>
  </si>
  <si>
    <t>LOJA DE IMPERATRIZ - MA</t>
  </si>
  <si>
    <t>LOJA VILHENA - RO</t>
  </si>
  <si>
    <t>LOJA PORTO VELHO - RO</t>
  </si>
  <si>
    <t>SILVANA PINTO CABRAL</t>
  </si>
  <si>
    <t>LOJA BARRA DO CORDA - MA</t>
  </si>
  <si>
    <t>LOJA BALSAS - MA</t>
  </si>
  <si>
    <t>LOJA ITABORAI - RJ</t>
  </si>
  <si>
    <t>CRM</t>
  </si>
  <si>
    <t>SONAX</t>
  </si>
  <si>
    <t>VIRTUAL</t>
  </si>
  <si>
    <t>TELEFONIA</t>
  </si>
  <si>
    <t>LOJA MACAE - RJ</t>
  </si>
  <si>
    <t>LOJA RIO DAS OSTRAS - RJ</t>
  </si>
  <si>
    <t>LOJA SAQUAREMA - RJ</t>
  </si>
  <si>
    <t>LOJA CABO FRIO - RJ</t>
  </si>
  <si>
    <t>LOJA CAMPO DOS GOYTACAZES 1 - RJ</t>
  </si>
  <si>
    <t>LOJA ARARUAMA - RJ</t>
  </si>
  <si>
    <t>LOJA ARAGUAINA - TO</t>
  </si>
  <si>
    <t>COORDENAÇÃO SP II</t>
  </si>
  <si>
    <t>LOJA PORTO ALEGRE - RESTINGA - RS</t>
  </si>
  <si>
    <t>LOJA GUARUJA - SP</t>
  </si>
  <si>
    <t>AV. SANTOS DUMONT, N. 261 – LOJA A</t>
  </si>
  <si>
    <t>PAECARA</t>
  </si>
  <si>
    <t>11460-001</t>
  </si>
  <si>
    <t>DATA CADASTRO</t>
  </si>
  <si>
    <t>FALE SEMPRE MAIS</t>
  </si>
  <si>
    <t>LOJA PALMACIA - CE</t>
  </si>
  <si>
    <t>R. PADRE PERDIGÃO SAMPAIO S/N</t>
  </si>
  <si>
    <t>PALMACIA</t>
  </si>
  <si>
    <t>62780-000</t>
  </si>
  <si>
    <t>LOJA SAO PEDRO DA ALDEIA - RJ</t>
  </si>
  <si>
    <t>AVENIDA SÃO PEDRO, N.º 242, LOJA B</t>
  </si>
  <si>
    <t>28941-176</t>
  </si>
  <si>
    <t>LOJA NILOPOLIS - RJ</t>
  </si>
  <si>
    <t>LOJA SAO JOAO DE MERITI - RJ</t>
  </si>
  <si>
    <t>LOJA MAGE - RJ</t>
  </si>
  <si>
    <t>RUA PEDRO ALVARES CABRAL 169</t>
  </si>
  <si>
    <t>AV. COMENDADOR TELES 912</t>
  </si>
  <si>
    <t>PRAÇA NILO PEÇANHA 137</t>
  </si>
  <si>
    <t>VILAR DOS TELES</t>
  </si>
  <si>
    <t>26525-051</t>
  </si>
  <si>
    <t>25561-162</t>
  </si>
  <si>
    <t>25903-587</t>
  </si>
  <si>
    <t>AV JOAO ANTONIO SILVEIRA 1890, 2080 AC T, LOJA 03</t>
  </si>
  <si>
    <t>RESTINGA</t>
  </si>
  <si>
    <t>91792-800</t>
  </si>
  <si>
    <t>LOJA BIGUACU - SC</t>
  </si>
  <si>
    <t>LOJA PETROPOLIS - RJ</t>
  </si>
  <si>
    <t>LOJA IMBITUBA - SC</t>
  </si>
  <si>
    <t>RUA CORONEL TEIXEIRA DE OLIVEIRA, 68, LOJA 09, ED.</t>
  </si>
  <si>
    <t>BIGUACU</t>
  </si>
  <si>
    <t>88160-000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</si>
</sst>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44" fontId="0" fillId="0" borderId="0" xfId="42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7" fillId="33" borderId="0" xfId="0" applyFont="1" applyFill="1"/>
    <xf numFmtId="0" fontId="17" fillId="33" borderId="0" xfId="0" applyFont="1" applyFill="1" applyAlignment="1">
      <alignment horizontal="left"/>
    </xf>
    <xf numFmtId="0" fontId="0" fillId="0" borderId="0" xfId="0" pivotButton="1"/>
    <xf numFmtId="1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14" fontId="0" fillId="0" borderId="0" xfId="0" applyNumberFormat="1"/>
    <xf numFmtId="0" fontId="13" fillId="34" borderId="0" xfId="0" applyFont="1" applyFill="1"/>
    <xf numFmtId="14" fontId="13" fillId="34" borderId="0" xfId="0" applyNumberFormat="1" applyFont="1" applyFill="1"/>
    <xf numFmtId="0" fontId="13" fillId="34" borderId="0" xfId="0" applyFont="1" applyFill="1" applyAlignment="1">
      <alignment horizontal="center"/>
    </xf>
    <xf numFmtId="14" fontId="13" fillId="34" borderId="0" xfId="0" applyNumberFormat="1" applyFont="1" applyFill="1" applyAlignment="1">
      <alignment horizontal="center"/>
    </xf>
    <xf numFmtId="44" fontId="13" fillId="34" borderId="0" xfId="42" applyFont="1" applyFill="1"/>
    <xf numFmtId="10" fontId="0" fillId="0" borderId="0" xfId="47" applyNumberFormat="1" applyFont="1"/>
    <xf numFmtId="0" fontId="21" fillId="0" borderId="0" xfId="0" pivotButton="1" applyFont="1"/>
    <xf numFmtId="0" fontId="21" fillId="0" borderId="0" xfId="0" applyFont="1"/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indent="1"/>
    </xf>
    <xf numFmtId="0" fontId="21" fillId="0" borderId="0" xfId="0" applyFont="1" applyAlignment="1">
      <alignment horizontal="left" indent="2"/>
    </xf>
    <xf numFmtId="0" fontId="20" fillId="0" borderId="0" xfId="0" applyFont="1"/>
    <xf numFmtId="0" fontId="18" fillId="0" borderId="0" xfId="0" applyFont="1"/>
    <xf numFmtId="0" fontId="18" fillId="0" borderId="0" xfId="0" applyFont="1" applyAlignment="1">
      <alignment horizontal="left"/>
    </xf>
    <xf numFmtId="0" fontId="13" fillId="34" borderId="0" xfId="0" applyFont="1" applyFill="1" applyAlignment="1">
      <alignment horizontal="left"/>
    </xf>
  </cellXfs>
  <cellStyles count="48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Moeda" xfId="42" builtinId="4"/>
    <cellStyle name="Moeda 2" xfId="45" xr:uid="{00000000-0005-0000-0000-00001F000000}"/>
    <cellStyle name="Moeda 3" xfId="44" xr:uid="{00000000-0005-0000-0000-000020000000}"/>
    <cellStyle name="Moeda 4" xfId="43" xr:uid="{00000000-0005-0000-0000-000021000000}"/>
    <cellStyle name="Neutro" xfId="8" builtinId="28" customBuiltin="1"/>
    <cellStyle name="Normal" xfId="0" builtinId="0"/>
    <cellStyle name="Nota" xfId="15" builtinId="10" customBuiltin="1"/>
    <cellStyle name="Percentagem" xfId="47" builtinId="5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  <cellStyle name="Vírgula 2" xfId="46" xr:uid="{00000000-0005-0000-0000-00002F000000}"/>
  </cellStyles>
  <dxfs count="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DESEMPENHO_COMERCIAL\HIERARQUIA\Hierarquia%20Matriz.xlsx" TargetMode="External"/><Relationship Id="rId1" Type="http://schemas.openxmlformats.org/officeDocument/2006/relationships/externalLinkPath" Target="/DESEMPENHO_COMERCIAL/HIERARQUIA/Hierarquia%20Matri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ulta1"/>
      <sheetName val="Folha1"/>
    </sheetNames>
    <sheetDataSet>
      <sheetData sheetId="0">
        <row r="1">
          <cell r="A1" t="str">
            <v>CODIGO</v>
          </cell>
          <cell r="B1" t="str">
            <v>LOJA</v>
          </cell>
          <cell r="C1" t="str">
            <v>CoordenadorLojas</v>
          </cell>
          <cell r="D1" t="str">
            <v>COORDENADOR</v>
          </cell>
          <cell r="E1" t="str">
            <v>SUPERVISORLOJA</v>
          </cell>
          <cell r="F1" t="str">
            <v>REGIONAL</v>
          </cell>
          <cell r="G1" t="str">
            <v>DATA_CADASTRO</v>
          </cell>
          <cell r="H1" t="str">
            <v>ENDERECO</v>
          </cell>
          <cell r="I1" t="str">
            <v>BAIRRO</v>
          </cell>
          <cell r="J1" t="str">
            <v>CEP</v>
          </cell>
          <cell r="K1" t="str">
            <v>CIDADE</v>
          </cell>
          <cell r="L1" t="str">
            <v>UF</v>
          </cell>
          <cell r="M1" t="str">
            <v>FONE_COMERCIAL</v>
          </cell>
          <cell r="N1" t="str">
            <v>CENTRODECUSTO</v>
          </cell>
          <cell r="O1" t="str">
            <v>FONE_COMERCIAL2</v>
          </cell>
          <cell r="P1" t="str">
            <v>EMAIL</v>
          </cell>
          <cell r="Q1" t="str">
            <v>Email1</v>
          </cell>
          <cell r="R1" t="str">
            <v>email2</v>
          </cell>
          <cell r="S1" t="str">
            <v>emailOperacional</v>
          </cell>
          <cell r="T1" t="str">
            <v>APELIDO</v>
          </cell>
          <cell r="U1" t="str">
            <v>OBSSTATUS</v>
          </cell>
          <cell r="V1" t="str">
            <v>mapa</v>
          </cell>
          <cell r="W1" t="str">
            <v>STATUS</v>
          </cell>
        </row>
        <row r="2">
          <cell r="A2">
            <v>200026</v>
          </cell>
          <cell r="B2" t="str">
            <v>LOJA BIGUACU - SC</v>
          </cell>
          <cell r="C2">
            <v>0</v>
          </cell>
          <cell r="E2">
            <v>0</v>
          </cell>
          <cell r="G2">
            <v>46050</v>
          </cell>
          <cell r="H2" t="str">
            <v>RUA CORONEL TEIXEIRA DE OLIVEIRA, 68, LOJA 09, ED.</v>
          </cell>
          <cell r="I2" t="str">
            <v>CENTRO</v>
          </cell>
          <cell r="J2" t="str">
            <v>88160-000</v>
          </cell>
          <cell r="K2">
            <v>16305556</v>
          </cell>
          <cell r="L2" t="str">
            <v>SC</v>
          </cell>
          <cell r="M2" t="str">
            <v>-</v>
          </cell>
          <cell r="N2">
            <v>347</v>
          </cell>
          <cell r="O2" t="str">
            <v>-</v>
          </cell>
          <cell r="P2" t="str">
            <v>-</v>
          </cell>
          <cell r="Q2" t="str">
            <v>-</v>
          </cell>
          <cell r="S2" t="str">
            <v>-</v>
          </cell>
          <cell r="T2" t="str">
            <v>200026</v>
          </cell>
          <cell r="W2" t="str">
            <v>A</v>
          </cell>
        </row>
        <row r="3">
          <cell r="A3">
            <v>61059</v>
          </cell>
          <cell r="B3" t="str">
            <v>LOJA MAGE - RJ</v>
          </cell>
          <cell r="C3">
            <v>0</v>
          </cell>
          <cell r="E3">
            <v>0</v>
          </cell>
          <cell r="G3">
            <v>46049</v>
          </cell>
          <cell r="H3" t="str">
            <v>PRAÇA NILO PEÇANHA 137</v>
          </cell>
          <cell r="I3" t="str">
            <v>CENTRO</v>
          </cell>
          <cell r="J3" t="str">
            <v>25903-587</v>
          </cell>
          <cell r="K3">
            <v>26199</v>
          </cell>
          <cell r="L3" t="str">
            <v>RJ</v>
          </cell>
          <cell r="M3" t="str">
            <v>-</v>
          </cell>
          <cell r="N3">
            <v>342</v>
          </cell>
          <cell r="O3" t="str">
            <v>-</v>
          </cell>
          <cell r="P3" t="str">
            <v>-</v>
          </cell>
          <cell r="Q3" t="str">
            <v>-</v>
          </cell>
          <cell r="S3" t="str">
            <v>-</v>
          </cell>
          <cell r="T3" t="str">
            <v>61059</v>
          </cell>
          <cell r="W3" t="str">
            <v>A</v>
          </cell>
        </row>
        <row r="4">
          <cell r="A4">
            <v>61060</v>
          </cell>
          <cell r="B4" t="str">
            <v>LOJA SAO JOAO DE MERITI - RJ</v>
          </cell>
          <cell r="C4">
            <v>0</v>
          </cell>
          <cell r="E4">
            <v>0</v>
          </cell>
          <cell r="G4">
            <v>46049</v>
          </cell>
          <cell r="H4" t="str">
            <v>AV. COMENDADOR TELES 912</v>
          </cell>
          <cell r="I4" t="str">
            <v>VILAR DOS TELES</v>
          </cell>
          <cell r="J4" t="str">
            <v>25561-162</v>
          </cell>
          <cell r="K4">
            <v>26183</v>
          </cell>
          <cell r="L4" t="str">
            <v>RJ</v>
          </cell>
          <cell r="M4" t="str">
            <v>-</v>
          </cell>
          <cell r="N4">
            <v>343</v>
          </cell>
          <cell r="O4" t="str">
            <v>-</v>
          </cell>
          <cell r="P4" t="str">
            <v>-</v>
          </cell>
          <cell r="Q4" t="str">
            <v>-</v>
          </cell>
          <cell r="S4" t="str">
            <v>-</v>
          </cell>
          <cell r="T4" t="str">
            <v>61060</v>
          </cell>
          <cell r="W4" t="str">
            <v>A</v>
          </cell>
        </row>
        <row r="5">
          <cell r="A5">
            <v>61061</v>
          </cell>
          <cell r="B5" t="str">
            <v>LOJA NILOPOLIS - RJ</v>
          </cell>
          <cell r="C5">
            <v>0</v>
          </cell>
          <cell r="E5">
            <v>0</v>
          </cell>
          <cell r="G5">
            <v>46049</v>
          </cell>
          <cell r="H5" t="str">
            <v>RUA PEDRO ALVARES CABRAL 169</v>
          </cell>
          <cell r="I5" t="str">
            <v>CENTRO</v>
          </cell>
          <cell r="J5" t="str">
            <v>26525-051</v>
          </cell>
          <cell r="K5">
            <v>3574</v>
          </cell>
          <cell r="L5" t="str">
            <v>RJ</v>
          </cell>
          <cell r="M5" t="str">
            <v>-</v>
          </cell>
          <cell r="N5">
            <v>344</v>
          </cell>
          <cell r="O5" t="str">
            <v>-</v>
          </cell>
          <cell r="P5" t="str">
            <v>-</v>
          </cell>
          <cell r="Q5" t="str">
            <v>-</v>
          </cell>
          <cell r="S5" t="str">
            <v>-</v>
          </cell>
          <cell r="T5" t="str">
            <v>61061</v>
          </cell>
          <cell r="W5" t="str">
            <v>A</v>
          </cell>
        </row>
        <row r="6">
          <cell r="A6">
            <v>61062</v>
          </cell>
          <cell r="B6" t="str">
            <v>LOJA PETROPOLIS - RJ</v>
          </cell>
          <cell r="E6">
            <v>6621</v>
          </cell>
          <cell r="F6" t="str">
            <v>THAYSA SANDIM DE SOUZA</v>
          </cell>
          <cell r="G6">
            <v>46049</v>
          </cell>
          <cell r="H6" t="str">
            <v>RUA DO IMPERADOR 675, LOJA 03</v>
          </cell>
          <cell r="I6" t="str">
            <v>CENTRO</v>
          </cell>
          <cell r="J6" t="str">
            <v>25620-003</v>
          </cell>
          <cell r="K6">
            <v>1016</v>
          </cell>
          <cell r="L6" t="str">
            <v>RJ</v>
          </cell>
          <cell r="M6" t="str">
            <v>-</v>
          </cell>
          <cell r="N6">
            <v>349</v>
          </cell>
          <cell r="O6" t="str">
            <v>-</v>
          </cell>
          <cell r="P6" t="str">
            <v>-</v>
          </cell>
          <cell r="Q6" t="str">
            <v>-</v>
          </cell>
          <cell r="S6" t="str">
            <v>-</v>
          </cell>
          <cell r="T6" t="str">
            <v>61062</v>
          </cell>
          <cell r="W6" t="str">
            <v>A</v>
          </cell>
        </row>
        <row r="7">
          <cell r="A7">
            <v>200025</v>
          </cell>
          <cell r="B7" t="str">
            <v>LOJA IMBITUBA - SC</v>
          </cell>
          <cell r="C7">
            <v>6763</v>
          </cell>
          <cell r="D7" t="str">
            <v>JULIE BARBOSA</v>
          </cell>
          <cell r="E7">
            <v>0</v>
          </cell>
          <cell r="G7">
            <v>46049</v>
          </cell>
          <cell r="H7" t="str">
            <v>RUA NEREU RAMOS 719, SALA 116</v>
          </cell>
          <cell r="I7" t="str">
            <v>CENTRO</v>
          </cell>
          <cell r="J7" t="str">
            <v>88.780-00</v>
          </cell>
          <cell r="K7">
            <v>1784</v>
          </cell>
          <cell r="L7" t="str">
            <v>SC</v>
          </cell>
          <cell r="M7" t="str">
            <v>-</v>
          </cell>
          <cell r="N7">
            <v>357</v>
          </cell>
          <cell r="O7" t="str">
            <v>-</v>
          </cell>
          <cell r="P7" t="str">
            <v>-</v>
          </cell>
          <cell r="Q7" t="str">
            <v>-</v>
          </cell>
          <cell r="S7" t="str">
            <v>-</v>
          </cell>
          <cell r="T7" t="str">
            <v>200025</v>
          </cell>
          <cell r="W7" t="str">
            <v>A</v>
          </cell>
        </row>
        <row r="8">
          <cell r="A8">
            <v>27895</v>
          </cell>
          <cell r="B8" t="str">
            <v>LOJA PALMACIA - CE</v>
          </cell>
          <cell r="C8">
            <v>9823</v>
          </cell>
          <cell r="D8" t="str">
            <v>BRENO ROCHA HONORATO DA SILVA</v>
          </cell>
          <cell r="E8">
            <v>0</v>
          </cell>
          <cell r="G8">
            <v>46002</v>
          </cell>
          <cell r="H8" t="str">
            <v>R. PADRE PERDIGÃO SAMPAIO S/N</v>
          </cell>
          <cell r="I8" t="str">
            <v>CENTRO</v>
          </cell>
          <cell r="J8" t="str">
            <v>62780000</v>
          </cell>
          <cell r="K8">
            <v>1613</v>
          </cell>
          <cell r="L8" t="str">
            <v>CE</v>
          </cell>
          <cell r="M8" t="str">
            <v>-</v>
          </cell>
          <cell r="N8">
            <v>341</v>
          </cell>
          <cell r="O8" t="str">
            <v>-</v>
          </cell>
          <cell r="P8" t="str">
            <v>-</v>
          </cell>
          <cell r="Q8" t="str">
            <v>-</v>
          </cell>
          <cell r="S8" t="str">
            <v>-</v>
          </cell>
          <cell r="T8" t="str">
            <v>27895</v>
          </cell>
          <cell r="W8" t="str">
            <v>A</v>
          </cell>
        </row>
        <row r="9">
          <cell r="A9">
            <v>61058</v>
          </cell>
          <cell r="B9" t="str">
            <v>LOJA SAO PEDRO DA ALDEIA - RJ</v>
          </cell>
          <cell r="C9">
            <v>13088</v>
          </cell>
          <cell r="D9" t="str">
            <v>YASMIM APARECIDA DOS ANJOS PARANHOS</v>
          </cell>
          <cell r="E9">
            <v>6621</v>
          </cell>
          <cell r="F9" t="str">
            <v>THAYSA SANDIM DE SOUZA</v>
          </cell>
          <cell r="G9">
            <v>46002</v>
          </cell>
          <cell r="H9" t="str">
            <v>AVENIDA SÃO PEDRO, N.º 242, LOJA B</v>
          </cell>
          <cell r="I9" t="str">
            <v>CENTRO</v>
          </cell>
          <cell r="J9" t="str">
            <v>28941176</v>
          </cell>
          <cell r="K9">
            <v>26401</v>
          </cell>
          <cell r="L9" t="str">
            <v>RJ</v>
          </cell>
          <cell r="M9" t="str">
            <v>-</v>
          </cell>
          <cell r="N9">
            <v>335</v>
          </cell>
          <cell r="O9" t="str">
            <v>-</v>
          </cell>
          <cell r="P9" t="str">
            <v>-</v>
          </cell>
          <cell r="Q9" t="str">
            <v>-</v>
          </cell>
          <cell r="S9" t="str">
            <v>-</v>
          </cell>
          <cell r="T9" t="str">
            <v>61058</v>
          </cell>
          <cell r="W9" t="str">
            <v>A</v>
          </cell>
        </row>
        <row r="10">
          <cell r="A10">
            <v>600085</v>
          </cell>
          <cell r="B10" t="str">
            <v>LOJA GUARUJA - SP</v>
          </cell>
          <cell r="C10">
            <v>95</v>
          </cell>
          <cell r="D10" t="str">
            <v>SILVANA DE FATIMA CENCI</v>
          </cell>
          <cell r="E10">
            <v>3826</v>
          </cell>
          <cell r="F10" t="str">
            <v>CINARA REGINA KEMERICH</v>
          </cell>
          <cell r="G10">
            <v>46002</v>
          </cell>
          <cell r="H10" t="str">
            <v>AV. SANTOS DUMONT, N. 261 – LOJA A</v>
          </cell>
          <cell r="I10" t="str">
            <v>PAECARA</v>
          </cell>
          <cell r="J10" t="str">
            <v>11460-001</v>
          </cell>
          <cell r="K10">
            <v>25329</v>
          </cell>
          <cell r="L10" t="str">
            <v>SP</v>
          </cell>
          <cell r="N10">
            <v>338</v>
          </cell>
          <cell r="P10" t="str">
            <v>darlane.fraga@factalojas.com.br</v>
          </cell>
          <cell r="Q10" t="str">
            <v>-</v>
          </cell>
          <cell r="S10" t="str">
            <v>-</v>
          </cell>
          <cell r="T10" t="str">
            <v>600085</v>
          </cell>
          <cell r="U10" t="str">
            <v/>
          </cell>
          <cell r="W10" t="str">
            <v>A</v>
          </cell>
        </row>
        <row r="11">
          <cell r="A11">
            <v>61057</v>
          </cell>
          <cell r="B11" t="str">
            <v>LOJA ITABORAI - RJ</v>
          </cell>
          <cell r="C11">
            <v>10527</v>
          </cell>
          <cell r="D11" t="str">
            <v>MARIA EDUARDA DELGADO MENESES</v>
          </cell>
          <cell r="E11">
            <v>6621</v>
          </cell>
          <cell r="F11" t="str">
            <v>THAYSA SANDIM DE SOUZA</v>
          </cell>
          <cell r="G11">
            <v>45979</v>
          </cell>
          <cell r="H11" t="str">
            <v>AV. PREFEITO MILTON RODRIGUES DA ROCHA, Nº. 161, LOJA Nº. 4</v>
          </cell>
          <cell r="I11" t="str">
            <v>MANILHA</v>
          </cell>
          <cell r="J11" t="str">
            <v>24855-264</v>
          </cell>
          <cell r="K11">
            <v>26172</v>
          </cell>
          <cell r="L11" t="str">
            <v>RJ</v>
          </cell>
          <cell r="N11">
            <v>328</v>
          </cell>
          <cell r="P11" t="str">
            <v>-</v>
          </cell>
          <cell r="Q11" t="str">
            <v>-</v>
          </cell>
          <cell r="S11" t="str">
            <v>-</v>
          </cell>
          <cell r="T11" t="str">
            <v>61057</v>
          </cell>
          <cell r="W11" t="str">
            <v>A</v>
          </cell>
        </row>
        <row r="12">
          <cell r="A12">
            <v>61056</v>
          </cell>
          <cell r="B12" t="str">
            <v>LOJA MACAE - RJ</v>
          </cell>
          <cell r="C12">
            <v>13088</v>
          </cell>
          <cell r="D12" t="str">
            <v>YASMIM APARECIDA DOS ANJOS PARANHOS</v>
          </cell>
          <cell r="E12">
            <v>6621</v>
          </cell>
          <cell r="F12" t="str">
            <v>THAYSA SANDIM DE SOUZA</v>
          </cell>
          <cell r="G12">
            <v>45978</v>
          </cell>
          <cell r="H12" t="str">
            <v>AV RUI BARBOSA, 773, LOJA 06</v>
          </cell>
          <cell r="I12" t="str">
            <v>CENTRO</v>
          </cell>
          <cell r="J12" t="str">
            <v>27910-361</v>
          </cell>
          <cell r="K12">
            <v>3554</v>
          </cell>
          <cell r="L12" t="str">
            <v>RJ</v>
          </cell>
          <cell r="N12">
            <v>331</v>
          </cell>
          <cell r="P12" t="str">
            <v>eucelleoliveira@gmail.com</v>
          </cell>
          <cell r="Q12" t="str">
            <v>-</v>
          </cell>
          <cell r="S12" t="str">
            <v>-</v>
          </cell>
          <cell r="T12" t="str">
            <v>61056</v>
          </cell>
          <cell r="W12" t="str">
            <v>A</v>
          </cell>
        </row>
        <row r="13">
          <cell r="A13">
            <v>61054</v>
          </cell>
          <cell r="B13" t="str">
            <v>LOJA RIO DAS OSTRAS - RJ</v>
          </cell>
          <cell r="C13">
            <v>13088</v>
          </cell>
          <cell r="D13" t="str">
            <v>YASMIM APARECIDA DOS ANJOS PARANHOS</v>
          </cell>
          <cell r="E13">
            <v>6621</v>
          </cell>
          <cell r="F13" t="str">
            <v>THAYSA SANDIM DE SOUZA</v>
          </cell>
          <cell r="G13">
            <v>45971</v>
          </cell>
          <cell r="H13" t="str">
            <v xml:space="preserve">RUA MARIA LETÍCIA, Nº 20, LOJA 01 </v>
          </cell>
          <cell r="I13" t="str">
            <v>CENTRO</v>
          </cell>
          <cell r="J13" t="str">
            <v>28893-058</v>
          </cell>
          <cell r="K13">
            <v>26394</v>
          </cell>
          <cell r="L13" t="str">
            <v>RJ</v>
          </cell>
          <cell r="M13" t="str">
            <v>2299257821</v>
          </cell>
          <cell r="N13">
            <v>329</v>
          </cell>
          <cell r="O13" t="str">
            <v>2299257821</v>
          </cell>
          <cell r="P13" t="str">
            <v>-</v>
          </cell>
          <cell r="Q13" t="str">
            <v>-</v>
          </cell>
          <cell r="S13" t="str">
            <v>-</v>
          </cell>
          <cell r="T13" t="str">
            <v>61054</v>
          </cell>
          <cell r="W13" t="str">
            <v>A</v>
          </cell>
        </row>
        <row r="14">
          <cell r="A14">
            <v>61055</v>
          </cell>
          <cell r="B14" t="str">
            <v>LOJA SAQUAREMA - RJ</v>
          </cell>
          <cell r="C14">
            <v>13088</v>
          </cell>
          <cell r="D14" t="str">
            <v>YASMIM APARECIDA DOS ANJOS PARANHOS</v>
          </cell>
          <cell r="E14">
            <v>6621</v>
          </cell>
          <cell r="F14" t="str">
            <v>THAYSA SANDIM DE SOUZA</v>
          </cell>
          <cell r="G14">
            <v>45971</v>
          </cell>
          <cell r="H14" t="str">
            <v>RUA PROFESSOR SOUZA, 23</v>
          </cell>
          <cell r="I14" t="str">
            <v>BACAXÁ</v>
          </cell>
          <cell r="J14" t="str">
            <v>28990-000</v>
          </cell>
          <cell r="K14">
            <v>26406</v>
          </cell>
          <cell r="L14" t="str">
            <v>RJ</v>
          </cell>
          <cell r="M14" t="str">
            <v>-</v>
          </cell>
          <cell r="N14">
            <v>334</v>
          </cell>
          <cell r="O14" t="str">
            <v>-</v>
          </cell>
          <cell r="P14" t="str">
            <v>melissa.ramalho@factalojas.com.br</v>
          </cell>
          <cell r="Q14" t="str">
            <v>-</v>
          </cell>
          <cell r="S14" t="str">
            <v>-</v>
          </cell>
          <cell r="T14" t="str">
            <v>61055</v>
          </cell>
          <cell r="U14" t="str">
            <v/>
          </cell>
          <cell r="W14" t="str">
            <v>A</v>
          </cell>
        </row>
        <row r="15">
          <cell r="A15">
            <v>61053</v>
          </cell>
          <cell r="B15" t="str">
            <v>LOJA CABO FRIO - RJ</v>
          </cell>
          <cell r="C15">
            <v>13088</v>
          </cell>
          <cell r="D15" t="str">
            <v>YASMIM APARECIDA DOS ANJOS PARANHOS</v>
          </cell>
          <cell r="E15">
            <v>6621</v>
          </cell>
          <cell r="F15" t="str">
            <v>THAYSA SANDIM DE SOUZA</v>
          </cell>
          <cell r="G15">
            <v>45931</v>
          </cell>
          <cell r="H15" t="str">
            <v xml:space="preserve">RUA JOSÉ BONIFÁCIO 02, LOJA 01 A </v>
          </cell>
          <cell r="I15" t="str">
            <v>CENTRO</v>
          </cell>
          <cell r="J15" t="str">
            <v>28907-110</v>
          </cell>
          <cell r="K15">
            <v>26397</v>
          </cell>
          <cell r="L15" t="str">
            <v>RJ</v>
          </cell>
          <cell r="M15" t="str">
            <v>2235131499</v>
          </cell>
          <cell r="N15">
            <v>327</v>
          </cell>
          <cell r="O15" t="str">
            <v>2235131499</v>
          </cell>
          <cell r="P15" t="str">
            <v>jenyffer.santos@factalojas.com.br</v>
          </cell>
          <cell r="Q15" t="str">
            <v>-</v>
          </cell>
          <cell r="S15" t="str">
            <v>-</v>
          </cell>
          <cell r="T15" t="str">
            <v>61053</v>
          </cell>
          <cell r="W15" t="str">
            <v>A</v>
          </cell>
        </row>
        <row r="16">
          <cell r="A16">
            <v>61052</v>
          </cell>
          <cell r="B16" t="str">
            <v>LOJA CAMPO DOS GOYTACAZES 1 - RJ</v>
          </cell>
          <cell r="C16">
            <v>13088</v>
          </cell>
          <cell r="D16" t="str">
            <v>YASMIM APARECIDA DOS ANJOS PARANHOS</v>
          </cell>
          <cell r="E16">
            <v>6621</v>
          </cell>
          <cell r="F16" t="str">
            <v>THAYSA SANDIM DE SOUZA</v>
          </cell>
          <cell r="G16">
            <v>45918</v>
          </cell>
          <cell r="H16" t="str">
            <v>AVENIDA RUI BARBOSA, N.º 1101, LOJA 28</v>
          </cell>
          <cell r="I16" t="str">
            <v>CENTRO</v>
          </cell>
          <cell r="K16">
            <v>964</v>
          </cell>
          <cell r="L16" t="str">
            <v>RJ</v>
          </cell>
          <cell r="N16">
            <v>362</v>
          </cell>
          <cell r="P16" t="str">
            <v>fellipe.souza143@gmail.com</v>
          </cell>
          <cell r="Q16" t="str">
            <v>-</v>
          </cell>
          <cell r="S16" t="str">
            <v>-</v>
          </cell>
          <cell r="T16" t="str">
            <v>61052</v>
          </cell>
          <cell r="W16" t="str">
            <v>A</v>
          </cell>
        </row>
        <row r="17">
          <cell r="A17">
            <v>25021</v>
          </cell>
          <cell r="B17" t="str">
            <v>LOJA ARIQUEMES - RO</v>
          </cell>
          <cell r="C17">
            <v>16080</v>
          </cell>
          <cell r="D17" t="str">
            <v>KAICK FERNANDES PEIXOTO</v>
          </cell>
          <cell r="E17">
            <v>3026</v>
          </cell>
          <cell r="F17" t="str">
            <v>MAYARA NOVAIS LOPES</v>
          </cell>
          <cell r="G17">
            <v>45910</v>
          </cell>
          <cell r="H17" t="str">
            <v xml:space="preserve">RUA FORTALEZA, N°2120, SALA 03 </v>
          </cell>
          <cell r="I17" t="str">
            <v>SETOR 03</v>
          </cell>
          <cell r="J17" t="str">
            <v>76870-505</v>
          </cell>
          <cell r="K17">
            <v>567</v>
          </cell>
          <cell r="L17" t="str">
            <v>RO</v>
          </cell>
          <cell r="M17" t="str">
            <v>6998103109</v>
          </cell>
          <cell r="N17">
            <v>998</v>
          </cell>
          <cell r="O17" t="str">
            <v>6998103109</v>
          </cell>
          <cell r="P17" t="str">
            <v>kemile.oliveira@factalojas.com.br</v>
          </cell>
          <cell r="Q17" t="str">
            <v>-</v>
          </cell>
          <cell r="S17" t="str">
            <v>-</v>
          </cell>
          <cell r="T17" t="str">
            <v>25021</v>
          </cell>
          <cell r="U17" t="str">
            <v xml:space="preserve">_x000D_
</v>
          </cell>
          <cell r="W17" t="str">
            <v>A</v>
          </cell>
        </row>
        <row r="18">
          <cell r="A18">
            <v>61051</v>
          </cell>
          <cell r="B18" t="str">
            <v>LOJA ARARUAMA - RJ</v>
          </cell>
          <cell r="C18">
            <v>13088</v>
          </cell>
          <cell r="D18" t="str">
            <v>YASMIM APARECIDA DOS ANJOS PARANHOS</v>
          </cell>
          <cell r="E18">
            <v>6621</v>
          </cell>
          <cell r="F18" t="str">
            <v>THAYSA SANDIM DE SOUZA</v>
          </cell>
          <cell r="G18">
            <v>45909</v>
          </cell>
          <cell r="H18" t="str">
            <v>AVENIDA JOHN KENNEDY 150, LOJA 126</v>
          </cell>
          <cell r="I18" t="str">
            <v>CENTRO</v>
          </cell>
          <cell r="J18" t="str">
            <v>28979-087</v>
          </cell>
          <cell r="K18">
            <v>26403</v>
          </cell>
          <cell r="L18" t="str">
            <v>RJ</v>
          </cell>
          <cell r="M18" t="str">
            <v>2298838358</v>
          </cell>
          <cell r="N18">
            <v>918</v>
          </cell>
          <cell r="O18" t="str">
            <v>2298838358</v>
          </cell>
          <cell r="P18" t="str">
            <v>melissa.ramalho@factalojas.com.br</v>
          </cell>
          <cell r="Q18" t="str">
            <v>-</v>
          </cell>
          <cell r="S18" t="str">
            <v>-</v>
          </cell>
          <cell r="T18" t="str">
            <v>61051</v>
          </cell>
          <cell r="U18" t="str">
            <v/>
          </cell>
          <cell r="W18" t="str">
            <v>A</v>
          </cell>
        </row>
        <row r="19">
          <cell r="A19">
            <v>24040</v>
          </cell>
          <cell r="B19" t="str">
            <v>LOJA ARAGUAINA - TO</v>
          </cell>
          <cell r="C19">
            <v>15965</v>
          </cell>
          <cell r="D19" t="str">
            <v>SILVANA PINTO CABRAL</v>
          </cell>
          <cell r="E19">
            <v>3026</v>
          </cell>
          <cell r="F19" t="str">
            <v>MAYARA NOVAIS LOPES</v>
          </cell>
          <cell r="G19">
            <v>45903</v>
          </cell>
          <cell r="H19" t="str">
            <v>RUA PRIMEIRO DE JANEIRO 894</v>
          </cell>
          <cell r="I19" t="str">
            <v>CENTRO</v>
          </cell>
          <cell r="J19" t="str">
            <v>77803-140</v>
          </cell>
          <cell r="K19">
            <v>528</v>
          </cell>
          <cell r="L19" t="str">
            <v>TO</v>
          </cell>
          <cell r="M19" t="str">
            <v>9998419565</v>
          </cell>
          <cell r="N19">
            <v>324</v>
          </cell>
          <cell r="O19" t="str">
            <v>9998419565</v>
          </cell>
          <cell r="P19" t="str">
            <v>lanna.nascimento@factalojas.com.br</v>
          </cell>
          <cell r="Q19" t="str">
            <v>-</v>
          </cell>
          <cell r="S19" t="str">
            <v>-</v>
          </cell>
          <cell r="T19" t="str">
            <v>24040</v>
          </cell>
          <cell r="U19" t="str">
            <v xml:space="preserve">_x000D_
</v>
          </cell>
          <cell r="W19" t="str">
            <v>A</v>
          </cell>
        </row>
        <row r="20">
          <cell r="A20">
            <v>25020</v>
          </cell>
          <cell r="B20" t="str">
            <v>LOJA VILHENA - RO</v>
          </cell>
          <cell r="C20">
            <v>16080</v>
          </cell>
          <cell r="D20" t="str">
            <v>KAICK FERNANDES PEIXOTO</v>
          </cell>
          <cell r="E20">
            <v>3026</v>
          </cell>
          <cell r="F20" t="str">
            <v>MAYARA NOVAIS LOPES</v>
          </cell>
          <cell r="G20">
            <v>45902</v>
          </cell>
          <cell r="H20" t="str">
            <v>AV MAJOR AMARANTE 3216</v>
          </cell>
          <cell r="I20" t="str">
            <v>CENTRO</v>
          </cell>
          <cell r="J20" t="str">
            <v>76980-152</v>
          </cell>
          <cell r="K20">
            <v>3391</v>
          </cell>
          <cell r="L20" t="str">
            <v>RO</v>
          </cell>
          <cell r="N20">
            <v>912</v>
          </cell>
          <cell r="P20" t="str">
            <v>-</v>
          </cell>
          <cell r="Q20" t="str">
            <v>-</v>
          </cell>
          <cell r="S20" t="str">
            <v>-</v>
          </cell>
          <cell r="T20" t="str">
            <v>25020</v>
          </cell>
          <cell r="W20" t="str">
            <v>A</v>
          </cell>
        </row>
        <row r="21">
          <cell r="A21">
            <v>13981</v>
          </cell>
          <cell r="B21" t="str">
            <v>LOJA BALSAS - MA</v>
          </cell>
          <cell r="C21">
            <v>15965</v>
          </cell>
          <cell r="D21" t="str">
            <v>SILVANA PINTO CABRAL</v>
          </cell>
          <cell r="E21">
            <v>3026</v>
          </cell>
          <cell r="F21" t="str">
            <v>MAYARA NOVAIS LOPES</v>
          </cell>
          <cell r="G21">
            <v>45890</v>
          </cell>
          <cell r="H21" t="str">
            <v>RUA PADRE FRANCO, Nº 301</v>
          </cell>
          <cell r="I21" t="str">
            <v>CENTRO</v>
          </cell>
          <cell r="J21" t="str">
            <v>65800-000</v>
          </cell>
          <cell r="K21">
            <v>30103</v>
          </cell>
          <cell r="L21" t="str">
            <v>MA</v>
          </cell>
          <cell r="M21" t="str">
            <v>1197351283</v>
          </cell>
          <cell r="N21">
            <v>911</v>
          </cell>
          <cell r="O21" t="str">
            <v>1197351283</v>
          </cell>
          <cell r="P21" t="str">
            <v>daniel.silva@factalojas.com.br</v>
          </cell>
          <cell r="Q21" t="str">
            <v>-</v>
          </cell>
          <cell r="S21" t="str">
            <v>-</v>
          </cell>
          <cell r="T21" t="str">
            <v>13981</v>
          </cell>
          <cell r="W21" t="str">
            <v>A</v>
          </cell>
        </row>
        <row r="22">
          <cell r="A22">
            <v>7770</v>
          </cell>
          <cell r="B22" t="str">
            <v>LOJA JEQUIE - BA</v>
          </cell>
          <cell r="C22">
            <v>15077</v>
          </cell>
          <cell r="D22" t="str">
            <v>JOSE WELLINGTON DE SOUSA COSTA</v>
          </cell>
          <cell r="E22">
            <v>5452</v>
          </cell>
          <cell r="F22" t="str">
            <v>CRISTIANE CARVALHO GEBELATTO</v>
          </cell>
          <cell r="G22">
            <v>45880</v>
          </cell>
          <cell r="H22" t="str">
            <v>RUA RIACHUELO, 13</v>
          </cell>
          <cell r="I22" t="str">
            <v>CENTRO</v>
          </cell>
          <cell r="J22" t="str">
            <v>45200-030</v>
          </cell>
          <cell r="K22">
            <v>27992</v>
          </cell>
          <cell r="L22" t="str">
            <v>BA</v>
          </cell>
          <cell r="N22">
            <v>995</v>
          </cell>
          <cell r="P22" t="str">
            <v>-</v>
          </cell>
          <cell r="Q22" t="str">
            <v>-</v>
          </cell>
          <cell r="S22" t="str">
            <v>-</v>
          </cell>
          <cell r="T22" t="str">
            <v>7770</v>
          </cell>
          <cell r="U22" t="str">
            <v/>
          </cell>
          <cell r="W22" t="str">
            <v>A</v>
          </cell>
        </row>
        <row r="23">
          <cell r="A23">
            <v>25019</v>
          </cell>
          <cell r="B23" t="str">
            <v>LOJA PORTO VELHO - RO</v>
          </cell>
          <cell r="C23">
            <v>16080</v>
          </cell>
          <cell r="D23" t="str">
            <v>KAICK FERNANDES PEIXOTO</v>
          </cell>
          <cell r="E23">
            <v>3026</v>
          </cell>
          <cell r="F23" t="str">
            <v>MAYARA NOVAIS LOPES</v>
          </cell>
          <cell r="G23">
            <v>45876</v>
          </cell>
          <cell r="H23" t="str">
            <v>AV. 07 DE SETEMBRO, 694 A</v>
          </cell>
          <cell r="I23" t="str">
            <v>CENTRO</v>
          </cell>
          <cell r="J23" t="str">
            <v>76820-120</v>
          </cell>
          <cell r="K23">
            <v>3619</v>
          </cell>
          <cell r="L23" t="str">
            <v>RO</v>
          </cell>
          <cell r="N23">
            <v>689</v>
          </cell>
          <cell r="P23" t="str">
            <v>keila.silva@factalojas.com.br</v>
          </cell>
          <cell r="Q23" t="str">
            <v>-</v>
          </cell>
          <cell r="S23" t="str">
            <v>-</v>
          </cell>
          <cell r="T23" t="str">
            <v>25019</v>
          </cell>
          <cell r="W23" t="str">
            <v>A</v>
          </cell>
        </row>
        <row r="24">
          <cell r="A24">
            <v>25018</v>
          </cell>
          <cell r="B24" t="str">
            <v>LOJA JARU - RO</v>
          </cell>
          <cell r="C24">
            <v>16080</v>
          </cell>
          <cell r="D24" t="str">
            <v>KAICK FERNANDES PEIXOTO</v>
          </cell>
          <cell r="E24">
            <v>3026</v>
          </cell>
          <cell r="F24" t="str">
            <v>MAYARA NOVAIS LOPES</v>
          </cell>
          <cell r="G24">
            <v>45875</v>
          </cell>
          <cell r="H24" t="str">
            <v>AV FLORIANOPOLIS  3061</v>
          </cell>
          <cell r="I24" t="str">
            <v>SETOR 02</v>
          </cell>
          <cell r="J24" t="str">
            <v>76800-000</v>
          </cell>
          <cell r="K24">
            <v>2136</v>
          </cell>
          <cell r="L24" t="str">
            <v>RO</v>
          </cell>
          <cell r="N24">
            <v>992</v>
          </cell>
          <cell r="P24" t="str">
            <v>donizete.manoel@factalojas.com.br</v>
          </cell>
          <cell r="Q24" t="str">
            <v>-</v>
          </cell>
          <cell r="S24" t="str">
            <v>-</v>
          </cell>
          <cell r="T24" t="str">
            <v>25018</v>
          </cell>
          <cell r="U24" t="str">
            <v/>
          </cell>
          <cell r="W24" t="str">
            <v>A</v>
          </cell>
        </row>
        <row r="25">
          <cell r="A25">
            <v>61050</v>
          </cell>
          <cell r="B25" t="str">
            <v>LOJA TRES RIOS - RJ</v>
          </cell>
          <cell r="C25">
            <v>15127</v>
          </cell>
          <cell r="D25" t="str">
            <v>LOSANGELA HONORIO DE OLIVEIRA</v>
          </cell>
          <cell r="E25">
            <v>6621</v>
          </cell>
          <cell r="F25" t="str">
            <v>THAYSA SANDIM DE SOUZA</v>
          </cell>
          <cell r="G25">
            <v>45875</v>
          </cell>
          <cell r="H25" t="str">
            <v>AV. CONDESSA DO RIO NOVO 1773 LOJA 2</v>
          </cell>
          <cell r="I25" t="str">
            <v>CENTRO</v>
          </cell>
          <cell r="J25" t="str">
            <v>25807-280</v>
          </cell>
          <cell r="K25">
            <v>3725</v>
          </cell>
          <cell r="L25" t="str">
            <v>RJ</v>
          </cell>
          <cell r="N25">
            <v>696</v>
          </cell>
          <cell r="P25" t="str">
            <v>viviane.nascimento@factalojas.com.br</v>
          </cell>
          <cell r="Q25" t="str">
            <v>-</v>
          </cell>
          <cell r="S25" t="str">
            <v>-</v>
          </cell>
          <cell r="T25" t="str">
            <v>61050</v>
          </cell>
          <cell r="W25" t="str">
            <v>A</v>
          </cell>
        </row>
        <row r="26">
          <cell r="A26">
            <v>25017</v>
          </cell>
          <cell r="B26" t="str">
            <v>LOJA JI PARANA - RO</v>
          </cell>
          <cell r="C26">
            <v>16080</v>
          </cell>
          <cell r="D26" t="str">
            <v>KAICK FERNANDES PEIXOTO</v>
          </cell>
          <cell r="E26">
            <v>3026</v>
          </cell>
          <cell r="F26" t="str">
            <v>MAYARA NOVAIS LOPES</v>
          </cell>
          <cell r="G26">
            <v>45874</v>
          </cell>
          <cell r="H26" t="str">
            <v>AV. MARECHAL RONDON Nº 388 SALA 03</v>
          </cell>
          <cell r="I26" t="str">
            <v>CENTRO</v>
          </cell>
          <cell r="J26" t="str">
            <v>76900-027</v>
          </cell>
          <cell r="K26">
            <v>11724504</v>
          </cell>
          <cell r="L26" t="str">
            <v>RO</v>
          </cell>
          <cell r="N26">
            <v>990</v>
          </cell>
          <cell r="P26" t="str">
            <v>-</v>
          </cell>
          <cell r="Q26" t="str">
            <v>-</v>
          </cell>
          <cell r="S26" t="str">
            <v>-</v>
          </cell>
          <cell r="T26" t="str">
            <v>25017</v>
          </cell>
          <cell r="W26" t="str">
            <v>A</v>
          </cell>
        </row>
        <row r="27">
          <cell r="A27">
            <v>600099</v>
          </cell>
          <cell r="B27" t="str">
            <v>LOJA MARABA - PA</v>
          </cell>
          <cell r="C27">
            <v>15965</v>
          </cell>
          <cell r="D27" t="str">
            <v>SILVANA PINTO CABRAL</v>
          </cell>
          <cell r="E27">
            <v>3026</v>
          </cell>
          <cell r="F27" t="str">
            <v>MAYARA NOVAIS LOPES</v>
          </cell>
          <cell r="G27">
            <v>45874</v>
          </cell>
          <cell r="H27" t="str">
            <v>FOLHA 32, QUADRA 04, 9</v>
          </cell>
          <cell r="I27" t="str">
            <v>NOVA MARABÁ</v>
          </cell>
          <cell r="J27" t="str">
            <v>68504-070</v>
          </cell>
          <cell r="K27">
            <v>30222</v>
          </cell>
          <cell r="L27" t="str">
            <v>PA</v>
          </cell>
          <cell r="M27" t="str">
            <v>9498105334</v>
          </cell>
          <cell r="N27">
            <v>996</v>
          </cell>
          <cell r="O27" t="str">
            <v>9498105334</v>
          </cell>
          <cell r="P27" t="str">
            <v>eloemossilva@gmail.com</v>
          </cell>
          <cell r="Q27" t="str">
            <v>-</v>
          </cell>
          <cell r="S27" t="str">
            <v>-</v>
          </cell>
          <cell r="T27" t="str">
            <v>600099</v>
          </cell>
          <cell r="W27" t="str">
            <v>A</v>
          </cell>
        </row>
        <row r="28">
          <cell r="A28">
            <v>13978</v>
          </cell>
          <cell r="B28" t="str">
            <v>LOJA IMPERATRIZ - MA</v>
          </cell>
          <cell r="C28">
            <v>15965</v>
          </cell>
          <cell r="D28" t="str">
            <v>SILVANA PINTO CABRAL</v>
          </cell>
          <cell r="E28">
            <v>3026</v>
          </cell>
          <cell r="F28" t="str">
            <v>MAYARA NOVAIS LOPES</v>
          </cell>
          <cell r="G28">
            <v>45870</v>
          </cell>
          <cell r="H28" t="str">
            <v>AV GETÚLIO VARGAS, Nº 01830, LT 31, QD 361</v>
          </cell>
          <cell r="I28" t="str">
            <v>ENTRONCAMENTO</v>
          </cell>
          <cell r="J28" t="str">
            <v>65900-000</v>
          </cell>
          <cell r="K28">
            <v>30119</v>
          </cell>
          <cell r="L28" t="str">
            <v>MA</v>
          </cell>
          <cell r="M28" t="str">
            <v>9999173994</v>
          </cell>
          <cell r="N28">
            <v>691</v>
          </cell>
          <cell r="O28" t="str">
            <v>9999173994</v>
          </cell>
          <cell r="P28" t="str">
            <v>-</v>
          </cell>
          <cell r="Q28" t="str">
            <v>-</v>
          </cell>
          <cell r="S28" t="str">
            <v>-</v>
          </cell>
          <cell r="T28" t="str">
            <v>13978</v>
          </cell>
          <cell r="W28" t="str">
            <v>A</v>
          </cell>
        </row>
        <row r="29">
          <cell r="A29">
            <v>13979</v>
          </cell>
          <cell r="B29" t="str">
            <v>LOJA BARRA DO CORDA - MA</v>
          </cell>
          <cell r="C29">
            <v>15965</v>
          </cell>
          <cell r="D29" t="str">
            <v>SILVANA PINTO CABRAL</v>
          </cell>
          <cell r="E29">
            <v>3026</v>
          </cell>
          <cell r="F29" t="str">
            <v>MAYARA NOVAIS LOPES</v>
          </cell>
          <cell r="G29">
            <v>45870</v>
          </cell>
          <cell r="H29" t="str">
            <v>RUA FREDERICO FIGUEIRA, Nº 260A</v>
          </cell>
          <cell r="I29" t="str">
            <v>CENTRO</v>
          </cell>
          <cell r="J29" t="str">
            <v>65950-000</v>
          </cell>
          <cell r="K29">
            <v>657</v>
          </cell>
          <cell r="L29" t="str">
            <v>MA</v>
          </cell>
          <cell r="M29" t="str">
            <v>9870215556</v>
          </cell>
          <cell r="N29">
            <v>989</v>
          </cell>
          <cell r="O29" t="str">
            <v>9870215556</v>
          </cell>
          <cell r="P29" t="str">
            <v>-</v>
          </cell>
          <cell r="Q29" t="str">
            <v>-</v>
          </cell>
          <cell r="S29" t="str">
            <v>-</v>
          </cell>
          <cell r="T29" t="str">
            <v>13979</v>
          </cell>
          <cell r="W29" t="str">
            <v>A</v>
          </cell>
        </row>
        <row r="30">
          <cell r="A30">
            <v>13980</v>
          </cell>
          <cell r="B30" t="str">
            <v>LOJA ACAILANDIA - MA</v>
          </cell>
          <cell r="C30">
            <v>15965</v>
          </cell>
          <cell r="D30" t="str">
            <v>SILVANA PINTO CABRAL</v>
          </cell>
          <cell r="E30">
            <v>3026</v>
          </cell>
          <cell r="F30" t="str">
            <v>MAYARA NOVAIS LOPES</v>
          </cell>
          <cell r="G30">
            <v>45870</v>
          </cell>
          <cell r="H30" t="str">
            <v>RUA BONAIRE, 73</v>
          </cell>
          <cell r="I30" t="str">
            <v>CENTRO</v>
          </cell>
          <cell r="J30" t="str">
            <v>65930-000</v>
          </cell>
          <cell r="K30">
            <v>240</v>
          </cell>
          <cell r="L30" t="str">
            <v>MA</v>
          </cell>
          <cell r="N30">
            <v>991</v>
          </cell>
          <cell r="P30" t="str">
            <v>-</v>
          </cell>
          <cell r="Q30" t="str">
            <v>-</v>
          </cell>
          <cell r="S30" t="str">
            <v>-</v>
          </cell>
          <cell r="T30" t="str">
            <v>13980</v>
          </cell>
          <cell r="W30" t="str">
            <v>A</v>
          </cell>
        </row>
        <row r="31">
          <cell r="A31">
            <v>7768</v>
          </cell>
          <cell r="B31" t="str">
            <v>LOJA DIAS DAVILA - BA</v>
          </cell>
          <cell r="C31">
            <v>8919</v>
          </cell>
          <cell r="D31" t="str">
            <v>JESSICA ANDRADE DOS SANTOS</v>
          </cell>
          <cell r="E31">
            <v>5452</v>
          </cell>
          <cell r="F31" t="str">
            <v>CRISTIANE CARVALHO GEBELATTO</v>
          </cell>
          <cell r="G31">
            <v>45860</v>
          </cell>
          <cell r="H31" t="str">
            <v>RUA RAIMUNDO TABIREZA 128, LOJA B</v>
          </cell>
          <cell r="I31" t="str">
            <v>CENTRO</v>
          </cell>
          <cell r="K31">
            <v>27798</v>
          </cell>
          <cell r="L31" t="str">
            <v>BA</v>
          </cell>
          <cell r="M31" t="str">
            <v>5199888888</v>
          </cell>
          <cell r="N31">
            <v>695</v>
          </cell>
          <cell r="O31" t="str">
            <v>5199888888</v>
          </cell>
          <cell r="P31" t="str">
            <v>paloma.souza@factalojas.com.br</v>
          </cell>
          <cell r="Q31" t="str">
            <v>-</v>
          </cell>
          <cell r="S31" t="str">
            <v>-</v>
          </cell>
          <cell r="T31" t="str">
            <v>7768</v>
          </cell>
          <cell r="U31" t="str">
            <v/>
          </cell>
          <cell r="W31" t="str">
            <v>A</v>
          </cell>
        </row>
        <row r="32">
          <cell r="A32">
            <v>7769</v>
          </cell>
          <cell r="B32" t="str">
            <v>LOJA PEDRA AZUL - MG</v>
          </cell>
          <cell r="C32">
            <v>15077</v>
          </cell>
          <cell r="D32" t="str">
            <v>JOSE WELLINGTON DE SOUSA COSTA</v>
          </cell>
          <cell r="E32">
            <v>5452</v>
          </cell>
          <cell r="F32" t="str">
            <v>CRISTIANE CARVALHO GEBELATTO</v>
          </cell>
          <cell r="G32">
            <v>45775</v>
          </cell>
          <cell r="H32" t="str">
            <v xml:space="preserve">RUA JOAO MENDES FIGUEIREDO, Nº12 </v>
          </cell>
          <cell r="I32" t="str">
            <v>CENTRO</v>
          </cell>
          <cell r="J32" t="str">
            <v>39970-000</v>
          </cell>
          <cell r="K32">
            <v>970793</v>
          </cell>
          <cell r="L32" t="str">
            <v>MG</v>
          </cell>
          <cell r="M32" t="str">
            <v>3398169782</v>
          </cell>
          <cell r="N32">
            <v>958</v>
          </cell>
          <cell r="O32" t="str">
            <v>3398169782</v>
          </cell>
          <cell r="P32" t="str">
            <v>carolliny.faria@factalojas.com.br</v>
          </cell>
          <cell r="Q32" t="str">
            <v>.</v>
          </cell>
          <cell r="T32" t="str">
            <v>7769</v>
          </cell>
          <cell r="U32" t="str">
            <v/>
          </cell>
          <cell r="W32" t="str">
            <v>A</v>
          </cell>
        </row>
        <row r="33">
          <cell r="A33">
            <v>201</v>
          </cell>
          <cell r="B33" t="str">
            <v>CODIGO ATENDIMENTO - LOJA</v>
          </cell>
          <cell r="C33">
            <v>0</v>
          </cell>
          <cell r="E33">
            <v>0</v>
          </cell>
          <cell r="G33">
            <v>45750</v>
          </cell>
          <cell r="H33" t="str">
            <v>R DOS ANDRADAS, 1409</v>
          </cell>
          <cell r="I33" t="str">
            <v>CENTRO</v>
          </cell>
          <cell r="J33" t="str">
            <v>90020-011</v>
          </cell>
          <cell r="K33">
            <v>35</v>
          </cell>
          <cell r="L33" t="str">
            <v>RS</v>
          </cell>
          <cell r="M33" t="str">
            <v>5133333333</v>
          </cell>
          <cell r="N33">
            <v>67</v>
          </cell>
          <cell r="O33" t="str">
            <v>5133333333</v>
          </cell>
          <cell r="P33" t="str">
            <v>programacao@facta.com.br</v>
          </cell>
          <cell r="Q33" t="str">
            <v>programacao@facta.com.br</v>
          </cell>
          <cell r="S33" t="str">
            <v>programacao@facta.com.br</v>
          </cell>
          <cell r="T33" t="str">
            <v>201</v>
          </cell>
          <cell r="W33" t="str">
            <v>A</v>
          </cell>
        </row>
        <row r="34">
          <cell r="A34">
            <v>7767</v>
          </cell>
          <cell r="B34" t="str">
            <v>LOJA DIVISOPOLIS - MG</v>
          </cell>
          <cell r="C34">
            <v>15077</v>
          </cell>
          <cell r="D34" t="str">
            <v>JOSE WELLINGTON DE SOUSA COSTA</v>
          </cell>
          <cell r="E34">
            <v>5452</v>
          </cell>
          <cell r="F34" t="str">
            <v>CRISTIANE CARVALHO GEBELATTO</v>
          </cell>
          <cell r="G34">
            <v>45721</v>
          </cell>
          <cell r="H34" t="str">
            <v>RUA ANGELO NASCIMENTO 9</v>
          </cell>
          <cell r="I34" t="str">
            <v>CENTRO</v>
          </cell>
          <cell r="J34" t="str">
            <v>39912-000</v>
          </cell>
          <cell r="K34">
            <v>27771</v>
          </cell>
          <cell r="L34" t="str">
            <v>MG</v>
          </cell>
          <cell r="M34" t="str">
            <v>3398794668</v>
          </cell>
          <cell r="N34">
            <v>411</v>
          </cell>
          <cell r="O34" t="str">
            <v>3398794668</v>
          </cell>
          <cell r="P34" t="str">
            <v>shirla.oliveira@factalojas.com.br</v>
          </cell>
          <cell r="Q34" t="str">
            <v>jose.sousa@facta.com.br</v>
          </cell>
          <cell r="S34" t="str">
            <v>-</v>
          </cell>
          <cell r="T34" t="str">
            <v>7767</v>
          </cell>
          <cell r="W34" t="str">
            <v>A</v>
          </cell>
        </row>
        <row r="35">
          <cell r="A35">
            <v>27894</v>
          </cell>
          <cell r="B35" t="str">
            <v>LOJA GUAIUBA - CE</v>
          </cell>
          <cell r="C35">
            <v>9823</v>
          </cell>
          <cell r="D35" t="str">
            <v>BRENO ROCHA HONORATO DA SILVA</v>
          </cell>
          <cell r="E35">
            <v>5452</v>
          </cell>
          <cell r="F35" t="str">
            <v>CRISTIANE CARVALHO GEBELATTO</v>
          </cell>
          <cell r="G35">
            <v>45671</v>
          </cell>
          <cell r="H35" t="str">
            <v>RUA FREDERICO AUGUSTO, 65</v>
          </cell>
          <cell r="I35" t="str">
            <v>CENTRO</v>
          </cell>
          <cell r="J35" t="str">
            <v>61890-000</v>
          </cell>
          <cell r="K35">
            <v>1203</v>
          </cell>
          <cell r="L35" t="str">
            <v>CE</v>
          </cell>
          <cell r="M35" t="str">
            <v>8521809374</v>
          </cell>
          <cell r="N35">
            <v>406</v>
          </cell>
          <cell r="O35" t="str">
            <v>8521809374</v>
          </cell>
          <cell r="P35" t="str">
            <v>maria.alves@factalojas.com.br</v>
          </cell>
          <cell r="Q35" t="str">
            <v>maria.alves@factalojas.com.br</v>
          </cell>
          <cell r="S35" t="str">
            <v>maria.alves@factalojas.com.br</v>
          </cell>
          <cell r="T35" t="str">
            <v>27894</v>
          </cell>
          <cell r="U35" t="str">
            <v/>
          </cell>
          <cell r="W35" t="str">
            <v>A</v>
          </cell>
        </row>
        <row r="36">
          <cell r="A36">
            <v>98970</v>
          </cell>
          <cell r="B36" t="str">
            <v>LOJA IGUATU - CE</v>
          </cell>
          <cell r="C36">
            <v>11041</v>
          </cell>
          <cell r="D36" t="str">
            <v>RUANA VIRGINIA DA SILVA SANTOS</v>
          </cell>
          <cell r="E36">
            <v>5452</v>
          </cell>
          <cell r="F36" t="str">
            <v>CRISTIANE CARVALHO GEBELATTO</v>
          </cell>
          <cell r="G36">
            <v>45671</v>
          </cell>
          <cell r="H36" t="str">
            <v>RUA 23 DE NOVEMBRO, 205</v>
          </cell>
          <cell r="I36" t="str">
            <v>CENTRO</v>
          </cell>
          <cell r="J36" t="str">
            <v>63500-038</v>
          </cell>
          <cell r="K36">
            <v>1241</v>
          </cell>
          <cell r="L36" t="str">
            <v>CE</v>
          </cell>
          <cell r="M36" t="str">
            <v>8820181087</v>
          </cell>
          <cell r="N36">
            <v>451</v>
          </cell>
          <cell r="O36" t="str">
            <v>8820181087</v>
          </cell>
          <cell r="P36" t="str">
            <v>rayanne.sena@factalojas.com.br</v>
          </cell>
          <cell r="Q36" t="str">
            <v>-</v>
          </cell>
          <cell r="T36" t="str">
            <v>98970</v>
          </cell>
          <cell r="W36" t="str">
            <v>A</v>
          </cell>
        </row>
        <row r="37">
          <cell r="A37">
            <v>7766</v>
          </cell>
          <cell r="B37" t="str">
            <v>LOJA ITAJUIPE - BA</v>
          </cell>
          <cell r="C37">
            <v>0</v>
          </cell>
          <cell r="E37">
            <v>0</v>
          </cell>
          <cell r="G37">
            <v>45639</v>
          </cell>
          <cell r="H37" t="str">
            <v>PRAÇA VEREADOR JOSÉ ADRY 190</v>
          </cell>
          <cell r="I37" t="str">
            <v>CENTRO</v>
          </cell>
          <cell r="J37" t="str">
            <v>45630-000</v>
          </cell>
          <cell r="K37">
            <v>28089</v>
          </cell>
          <cell r="L37" t="str">
            <v>BA</v>
          </cell>
          <cell r="M37" t="str">
            <v>-</v>
          </cell>
          <cell r="N37">
            <v>319</v>
          </cell>
          <cell r="O37" t="str">
            <v>-</v>
          </cell>
          <cell r="P37" t="str">
            <v>-</v>
          </cell>
          <cell r="Q37" t="str">
            <v>-</v>
          </cell>
          <cell r="S37" t="str">
            <v>-</v>
          </cell>
          <cell r="T37" t="str">
            <v>7766</v>
          </cell>
          <cell r="U37" t="str">
            <v>LOJA ENCERRADA</v>
          </cell>
          <cell r="W37" t="str">
            <v>I</v>
          </cell>
        </row>
        <row r="38">
          <cell r="A38">
            <v>7765</v>
          </cell>
          <cell r="B38" t="str">
            <v>LOJA BARBACENA - MG</v>
          </cell>
          <cell r="C38">
            <v>12993</v>
          </cell>
          <cell r="D38" t="str">
            <v>JESSICA FERREIRA FIGUEIREDO</v>
          </cell>
          <cell r="E38">
            <v>3026</v>
          </cell>
          <cell r="F38" t="str">
            <v>MAYARA NOVAIS LOPES</v>
          </cell>
          <cell r="G38">
            <v>45636</v>
          </cell>
          <cell r="H38" t="str">
            <v>RUA DOUTOR THEOBALDO TOLENDAL 31</v>
          </cell>
          <cell r="I38" t="str">
            <v>CENTRO</v>
          </cell>
          <cell r="J38" t="str">
            <v>36200-010</v>
          </cell>
          <cell r="K38">
            <v>1135</v>
          </cell>
          <cell r="L38" t="str">
            <v>MG</v>
          </cell>
          <cell r="N38">
            <v>461</v>
          </cell>
          <cell r="P38" t="str">
            <v>richard.campos@factalojas.com.br</v>
          </cell>
          <cell r="Q38" t="str">
            <v>richard.campos@factalojas.com.br</v>
          </cell>
          <cell r="S38" t="str">
            <v>richard.campos@factalojas.com.br</v>
          </cell>
          <cell r="T38" t="str">
            <v>7765</v>
          </cell>
          <cell r="U38" t="str">
            <v xml:space="preserve">_x000D_
</v>
          </cell>
          <cell r="W38" t="str">
            <v>A</v>
          </cell>
        </row>
        <row r="39">
          <cell r="A39">
            <v>98014</v>
          </cell>
          <cell r="B39" t="str">
            <v>LOJA CRATO - CE</v>
          </cell>
          <cell r="C39">
            <v>11041</v>
          </cell>
          <cell r="D39" t="str">
            <v>RUANA VIRGINIA DA SILVA SANTOS</v>
          </cell>
          <cell r="E39">
            <v>5452</v>
          </cell>
          <cell r="F39" t="str">
            <v>CRISTIANE CARVALHO GEBELATTO</v>
          </cell>
          <cell r="G39">
            <v>45636</v>
          </cell>
          <cell r="H39" t="str">
            <v>R DOUTOR MIGUEL LIMA VERDE  530</v>
          </cell>
          <cell r="I39" t="str">
            <v>CENTRO</v>
          </cell>
          <cell r="J39" t="str">
            <v>63100-060</v>
          </cell>
          <cell r="K39">
            <v>1129</v>
          </cell>
          <cell r="L39" t="str">
            <v>CE</v>
          </cell>
          <cell r="M39" t="str">
            <v>1197215554</v>
          </cell>
          <cell r="N39">
            <v>449</v>
          </cell>
          <cell r="O39" t="str">
            <v>1197215554</v>
          </cell>
          <cell r="P39" t="str">
            <v>darllah.oliveira@factalojas.com.br</v>
          </cell>
          <cell r="Q39" t="str">
            <v>darllah.oliveira@factalojas.com.br</v>
          </cell>
          <cell r="S39" t="str">
            <v>darllah.oliveira@factalojas.com.br</v>
          </cell>
          <cell r="T39" t="str">
            <v>98014</v>
          </cell>
          <cell r="U39" t="str">
            <v/>
          </cell>
          <cell r="W39" t="str">
            <v>A</v>
          </cell>
        </row>
        <row r="40">
          <cell r="A40">
            <v>7764</v>
          </cell>
          <cell r="B40" t="str">
            <v>LOJA CAMACARI - BA</v>
          </cell>
          <cell r="C40">
            <v>12518</v>
          </cell>
          <cell r="D40" t="str">
            <v>LUANA SANTOS FURMANEK</v>
          </cell>
          <cell r="E40">
            <v>5452</v>
          </cell>
          <cell r="F40" t="str">
            <v>CRISTIANE CARVALHO GEBELATTO</v>
          </cell>
          <cell r="G40">
            <v>45630</v>
          </cell>
          <cell r="H40" t="str">
            <v>RUA ADELINA DE SÁ 455</v>
          </cell>
          <cell r="I40" t="str">
            <v>CENTRO</v>
          </cell>
          <cell r="J40" t="str">
            <v>42800-060</v>
          </cell>
          <cell r="K40">
            <v>27794</v>
          </cell>
          <cell r="L40" t="str">
            <v>BA</v>
          </cell>
          <cell r="M40" t="str">
            <v>7198782448</v>
          </cell>
          <cell r="N40">
            <v>435</v>
          </cell>
          <cell r="O40" t="str">
            <v>7198782448</v>
          </cell>
          <cell r="P40" t="str">
            <v>ana.sacramento@factalojas.com.br</v>
          </cell>
          <cell r="Q40" t="str">
            <v>-</v>
          </cell>
          <cell r="S40" t="str">
            <v>-</v>
          </cell>
          <cell r="T40" t="str">
            <v>7764</v>
          </cell>
          <cell r="U40" t="str">
            <v/>
          </cell>
          <cell r="W40" t="str">
            <v>A</v>
          </cell>
        </row>
        <row r="41">
          <cell r="A41">
            <v>7763</v>
          </cell>
          <cell r="B41" t="str">
            <v>LOJA CANDEIAS - BA</v>
          </cell>
          <cell r="C41">
            <v>8919</v>
          </cell>
          <cell r="D41" t="str">
            <v>JESSICA ANDRADE DOS SANTOS</v>
          </cell>
          <cell r="E41">
            <v>5452</v>
          </cell>
          <cell r="F41" t="str">
            <v>CRISTIANE CARVALHO GEBELATTO</v>
          </cell>
          <cell r="G41">
            <v>45617</v>
          </cell>
          <cell r="H41" t="str">
            <v>RUA 21 DE ABRIL 42 H</v>
          </cell>
          <cell r="I41" t="str">
            <v>CENTRO</v>
          </cell>
          <cell r="J41" t="str">
            <v>43805-160</v>
          </cell>
          <cell r="K41">
            <v>3476</v>
          </cell>
          <cell r="L41" t="str">
            <v>BA</v>
          </cell>
          <cell r="N41">
            <v>415</v>
          </cell>
          <cell r="P41" t="str">
            <v>loja7763@factalojas.com.br;jessica.santos@facta.com.br;talita.santana@factalojas.com.br</v>
          </cell>
          <cell r="Q41" t="str">
            <v>talita.santana@factalojas.com.br</v>
          </cell>
          <cell r="S41" t="str">
            <v>jessica.santos@facta.com.br</v>
          </cell>
          <cell r="T41" t="str">
            <v>7763</v>
          </cell>
          <cell r="U41" t="str">
            <v xml:space="preserve">_x000D_
</v>
          </cell>
          <cell r="W41" t="str">
            <v>A</v>
          </cell>
        </row>
        <row r="42">
          <cell r="A42">
            <v>97964</v>
          </cell>
          <cell r="B42" t="str">
            <v>LOJA ITAPIPOCA - CE</v>
          </cell>
          <cell r="C42">
            <v>9823</v>
          </cell>
          <cell r="D42" t="str">
            <v>BRENO ROCHA HONORATO DA SILVA</v>
          </cell>
          <cell r="E42">
            <v>5452</v>
          </cell>
          <cell r="F42" t="str">
            <v>CRISTIANE CARVALHO GEBELATTO</v>
          </cell>
          <cell r="G42">
            <v>45617</v>
          </cell>
          <cell r="H42" t="str">
            <v xml:space="preserve">RUA SETE DE SETEMBRO 67 </v>
          </cell>
          <cell r="I42" t="str">
            <v>CENTRO</v>
          </cell>
          <cell r="J42" t="str">
            <v>62500-031</v>
          </cell>
          <cell r="K42">
            <v>1273</v>
          </cell>
          <cell r="L42" t="str">
            <v>CE</v>
          </cell>
          <cell r="N42">
            <v>454</v>
          </cell>
          <cell r="P42" t="str">
            <v>francisco.silva@facta.com.br</v>
          </cell>
          <cell r="Q42" t="str">
            <v>-</v>
          </cell>
          <cell r="S42" t="str">
            <v>-</v>
          </cell>
          <cell r="T42" t="str">
            <v>97964</v>
          </cell>
          <cell r="W42" t="str">
            <v>A</v>
          </cell>
        </row>
        <row r="43">
          <cell r="A43">
            <v>7761</v>
          </cell>
          <cell r="B43" t="str">
            <v>LOJA SAO JOAO DEL REI - MG</v>
          </cell>
          <cell r="C43">
            <v>12993</v>
          </cell>
          <cell r="D43" t="str">
            <v>JESSICA FERREIRA FIGUEIREDO</v>
          </cell>
          <cell r="E43">
            <v>3026</v>
          </cell>
          <cell r="F43" t="str">
            <v>MAYARA NOVAIS LOPES</v>
          </cell>
          <cell r="G43">
            <v>45607</v>
          </cell>
          <cell r="H43" t="str">
            <v>TRAVESSA LOPES BAHIA 12, A</v>
          </cell>
          <cell r="I43" t="str">
            <v>CENTRO</v>
          </cell>
          <cell r="J43" t="str">
            <v>36300-066</v>
          </cell>
          <cell r="K43">
            <v>970613</v>
          </cell>
          <cell r="L43" t="str">
            <v>MG</v>
          </cell>
          <cell r="N43">
            <v>296</v>
          </cell>
          <cell r="P43" t="str">
            <v>loja7761@factalojas.com.br;douglas.pereira@factalojas.com.br</v>
          </cell>
          <cell r="Q43" t="str">
            <v>douglas.pereira@factalojas.com.br</v>
          </cell>
          <cell r="S43" t="str">
            <v>douglas.pereira@factalojas.com.br</v>
          </cell>
          <cell r="T43" t="str">
            <v>7761</v>
          </cell>
          <cell r="U43" t="str">
            <v/>
          </cell>
          <cell r="W43" t="str">
            <v>A</v>
          </cell>
        </row>
        <row r="44">
          <cell r="A44">
            <v>7762</v>
          </cell>
          <cell r="B44" t="str">
            <v>LOJA VESPASIANO - MG</v>
          </cell>
          <cell r="C44">
            <v>0</v>
          </cell>
          <cell r="E44">
            <v>0</v>
          </cell>
          <cell r="G44">
            <v>45607</v>
          </cell>
          <cell r="H44" t="str">
            <v>AVENIDA SEBASTIÃO FERNANDES 400</v>
          </cell>
          <cell r="I44" t="str">
            <v>CENTRO</v>
          </cell>
          <cell r="J44" t="str">
            <v>33200-979</v>
          </cell>
          <cell r="K44">
            <v>26558</v>
          </cell>
          <cell r="L44" t="str">
            <v>MG</v>
          </cell>
          <cell r="M44" t="str">
            <v>-</v>
          </cell>
          <cell r="N44">
            <v>948</v>
          </cell>
          <cell r="O44" t="str">
            <v>-</v>
          </cell>
          <cell r="P44" t="str">
            <v>loja7762@factalojas.com.br;michelle.batista@factalojas.com.br</v>
          </cell>
          <cell r="Q44" t="str">
            <v>loja7762@factalojas.com.br</v>
          </cell>
          <cell r="S44" t="str">
            <v>loja7762@factalojas.com.br</v>
          </cell>
          <cell r="T44" t="str">
            <v>7762</v>
          </cell>
          <cell r="U44" t="str">
            <v xml:space="preserve">_x000D_
</v>
          </cell>
          <cell r="W44" t="str">
            <v>A</v>
          </cell>
        </row>
        <row r="45">
          <cell r="A45">
            <v>7759</v>
          </cell>
          <cell r="B45" t="str">
            <v>LOJA BELO HORIZONTE - BARRO PRETO - MG</v>
          </cell>
          <cell r="C45">
            <v>11192</v>
          </cell>
          <cell r="D45" t="str">
            <v>RENATO SOUZA DO ESPIRITO SANTO LANGA</v>
          </cell>
          <cell r="E45">
            <v>3026</v>
          </cell>
          <cell r="F45" t="str">
            <v>MAYARA NOVAIS LOPES</v>
          </cell>
          <cell r="G45">
            <v>45603</v>
          </cell>
          <cell r="H45" t="str">
            <v>AV. AUGUSTO DE LIMA 1113, LOJA 119</v>
          </cell>
          <cell r="I45" t="str">
            <v>BARRO PRETO</v>
          </cell>
          <cell r="J45" t="str">
            <v>30190-002</v>
          </cell>
          <cell r="K45">
            <v>660</v>
          </cell>
          <cell r="L45" t="str">
            <v>MG</v>
          </cell>
          <cell r="M45" t="str">
            <v>3499156343</v>
          </cell>
          <cell r="N45">
            <v>426</v>
          </cell>
          <cell r="O45" t="str">
            <v>3499156343</v>
          </cell>
          <cell r="P45" t="str">
            <v>thiago.melo@factalojas.com.br</v>
          </cell>
          <cell r="Q45" t="str">
            <v>thiago.melo@factalojas.com.br</v>
          </cell>
          <cell r="S45" t="str">
            <v>thiago.melo@factalojas.com.br</v>
          </cell>
          <cell r="T45" t="str">
            <v>7759</v>
          </cell>
          <cell r="U45" t="str">
            <v/>
          </cell>
          <cell r="W45" t="str">
            <v>A</v>
          </cell>
        </row>
        <row r="46">
          <cell r="A46">
            <v>7760</v>
          </cell>
          <cell r="B46" t="str">
            <v>LOJA VALENCA - BA</v>
          </cell>
          <cell r="C46">
            <v>8919</v>
          </cell>
          <cell r="D46" t="str">
            <v>JESSICA ANDRADE DOS SANTOS</v>
          </cell>
          <cell r="E46">
            <v>5452</v>
          </cell>
          <cell r="F46" t="str">
            <v>CRISTIANE CARVALHO GEBELATTO</v>
          </cell>
          <cell r="G46">
            <v>45603</v>
          </cell>
          <cell r="H46" t="str">
            <v>RUA GENERAL LABATUT 41, SALA 15</v>
          </cell>
          <cell r="I46" t="str">
            <v>CENTRO</v>
          </cell>
          <cell r="J46" t="str">
            <v>45400-000</v>
          </cell>
          <cell r="K46">
            <v>3733</v>
          </cell>
          <cell r="L46" t="str">
            <v>BA</v>
          </cell>
          <cell r="N46">
            <v>414</v>
          </cell>
          <cell r="P46" t="str">
            <v>loja7760@factalojas.com.br;jessica.santos@facta.com.br;jilmaria.elexias@factalojas.com.br</v>
          </cell>
          <cell r="Q46" t="str">
            <v>jilmaria.elexias@factalojas.com.br</v>
          </cell>
          <cell r="S46" t="str">
            <v>jessica.santos@facta.com.br</v>
          </cell>
          <cell r="T46" t="str">
            <v>7760</v>
          </cell>
          <cell r="U46" t="str">
            <v/>
          </cell>
          <cell r="W46" t="str">
            <v>A</v>
          </cell>
        </row>
        <row r="47">
          <cell r="A47">
            <v>31423</v>
          </cell>
          <cell r="B47" t="str">
            <v>LOJA ARAUCARIA - PR</v>
          </cell>
          <cell r="C47">
            <v>10803</v>
          </cell>
          <cell r="D47" t="str">
            <v>JOAO GUALBERTO BRAZ JUNIOR</v>
          </cell>
          <cell r="E47">
            <v>0</v>
          </cell>
          <cell r="G47">
            <v>45603</v>
          </cell>
          <cell r="H47" t="str">
            <v>AV. VICTOR DO AMARAL 139</v>
          </cell>
          <cell r="I47" t="str">
            <v>CENTRO</v>
          </cell>
          <cell r="J47" t="str">
            <v>83702-040</v>
          </cell>
          <cell r="K47">
            <v>970218</v>
          </cell>
          <cell r="L47" t="str">
            <v>PR</v>
          </cell>
          <cell r="N47">
            <v>427</v>
          </cell>
          <cell r="P47" t="str">
            <v>thaina.almeida@factalojas.com.br</v>
          </cell>
          <cell r="Q47" t="str">
            <v>thaina.almeida@factalojas.com.br</v>
          </cell>
          <cell r="S47" t="str">
            <v>thaina.almeida@factalojas.com.br</v>
          </cell>
          <cell r="T47" t="str">
            <v>31423</v>
          </cell>
          <cell r="U47" t="str">
            <v xml:space="preserve">_x000D_
</v>
          </cell>
          <cell r="W47" t="str">
            <v>A</v>
          </cell>
        </row>
        <row r="48">
          <cell r="A48">
            <v>31424</v>
          </cell>
          <cell r="B48" t="str">
            <v>LOJA COLOMBO - PR</v>
          </cell>
          <cell r="C48">
            <v>10803</v>
          </cell>
          <cell r="D48" t="str">
            <v>JOAO GUALBERTO BRAZ JUNIOR</v>
          </cell>
          <cell r="E48">
            <v>0</v>
          </cell>
          <cell r="G48">
            <v>45603</v>
          </cell>
          <cell r="H48" t="str">
            <v>RUA ARQUIMEDES 18, SALA 08</v>
          </cell>
          <cell r="I48" t="str">
            <v>MARACANA</v>
          </cell>
          <cell r="J48" t="str">
            <v>83408-270</v>
          </cell>
          <cell r="K48">
            <v>7039020</v>
          </cell>
          <cell r="L48" t="str">
            <v>PR</v>
          </cell>
          <cell r="M48" t="str">
            <v>4131800643</v>
          </cell>
          <cell r="N48">
            <v>416</v>
          </cell>
          <cell r="O48" t="str">
            <v>4131800643</v>
          </cell>
          <cell r="P48" t="str">
            <v>ana.ribeiro@factalojas.com.br</v>
          </cell>
          <cell r="Q48" t="str">
            <v>ana.ribeiro@factalojas.com.br</v>
          </cell>
          <cell r="S48" t="str">
            <v>ana.ribeiro@factalojas.com.br</v>
          </cell>
          <cell r="T48" t="str">
            <v>31424</v>
          </cell>
          <cell r="U48" t="str">
            <v/>
          </cell>
          <cell r="W48" t="str">
            <v>A</v>
          </cell>
        </row>
        <row r="49">
          <cell r="A49">
            <v>31425</v>
          </cell>
          <cell r="B49" t="str">
            <v>LOJA CAMPO LARGO - PR</v>
          </cell>
          <cell r="C49">
            <v>10803</v>
          </cell>
          <cell r="D49" t="str">
            <v>JOAO GUALBERTO BRAZ JUNIOR</v>
          </cell>
          <cell r="E49">
            <v>0</v>
          </cell>
          <cell r="G49">
            <v>45603</v>
          </cell>
          <cell r="H49" t="str">
            <v xml:space="preserve">AV VEREADOR ARLINDO CHEMIN Nº31/ Lj6  - </v>
          </cell>
          <cell r="I49" t="str">
            <v>CENTRO</v>
          </cell>
          <cell r="J49" t="str">
            <v>83601-070</v>
          </cell>
          <cell r="K49">
            <v>6907109</v>
          </cell>
          <cell r="L49" t="str">
            <v>PR</v>
          </cell>
          <cell r="M49" t="str">
            <v>4130737998</v>
          </cell>
          <cell r="N49">
            <v>422</v>
          </cell>
          <cell r="O49" t="str">
            <v>4130737998</v>
          </cell>
          <cell r="P49" t="str">
            <v>loja31425@factalojas.com.br; viviane.silva@factalojas.com.br</v>
          </cell>
          <cell r="Q49" t="str">
            <v>jefferson.domackovski@factalojas.com.br</v>
          </cell>
          <cell r="S49" t="str">
            <v>jefferson.domackovski@factalojas.com.br</v>
          </cell>
          <cell r="T49" t="str">
            <v>31425</v>
          </cell>
          <cell r="U49" t="str">
            <v xml:space="preserve">JEFFERSON LUIS DOMACKOVSKI_x000D_
541.532.639-15_x000D_
35762132_x000D_
15/11/1964_x000D_
</v>
          </cell>
          <cell r="W49" t="str">
            <v>A</v>
          </cell>
        </row>
        <row r="50">
          <cell r="A50">
            <v>97926</v>
          </cell>
          <cell r="B50" t="str">
            <v>LOJA QUIXADA - CE</v>
          </cell>
          <cell r="C50">
            <v>11041</v>
          </cell>
          <cell r="D50" t="str">
            <v>RUANA VIRGINIA DA SILVA SANTOS</v>
          </cell>
          <cell r="E50">
            <v>5452</v>
          </cell>
          <cell r="F50" t="str">
            <v>CRISTIANE CARVALHO GEBELATTO</v>
          </cell>
          <cell r="G50">
            <v>45603</v>
          </cell>
          <cell r="H50" t="str">
            <v>R EPITACIO PESSOA, 1449</v>
          </cell>
          <cell r="I50" t="str">
            <v>CENTRO</v>
          </cell>
          <cell r="J50" t="str">
            <v>63900-113</v>
          </cell>
          <cell r="K50">
            <v>1496</v>
          </cell>
          <cell r="L50" t="str">
            <v>CE</v>
          </cell>
          <cell r="M50" t="str">
            <v>8892865024</v>
          </cell>
          <cell r="N50">
            <v>452</v>
          </cell>
          <cell r="O50" t="str">
            <v>8892865024</v>
          </cell>
          <cell r="P50" t="str">
            <v>anderson.rodrigues@factalojas.com.br</v>
          </cell>
          <cell r="Q50" t="str">
            <v>loja97926@factalojas.com.br;caio.felipe@factalojas.com.br</v>
          </cell>
          <cell r="S50" t="str">
            <v>loja97926@factalojas.com.br;caio.felipe@factalojas.com.br</v>
          </cell>
          <cell r="T50" t="str">
            <v>97926</v>
          </cell>
          <cell r="U50" t="str">
            <v xml:space="preserve">_x000D_
</v>
          </cell>
          <cell r="W50" t="str">
            <v>A</v>
          </cell>
        </row>
        <row r="51">
          <cell r="A51">
            <v>97927</v>
          </cell>
          <cell r="B51" t="str">
            <v>LOJA SOBRAL - CE</v>
          </cell>
          <cell r="C51">
            <v>9823</v>
          </cell>
          <cell r="D51" t="str">
            <v>BRENO ROCHA HONORATO DA SILVA</v>
          </cell>
          <cell r="E51">
            <v>5452</v>
          </cell>
          <cell r="F51" t="str">
            <v>CRISTIANE CARVALHO GEBELATTO</v>
          </cell>
          <cell r="G51">
            <v>45603</v>
          </cell>
          <cell r="H51" t="str">
            <v>TRAV DO XEREZ 118</v>
          </cell>
          <cell r="I51" t="str">
            <v>CENTRO</v>
          </cell>
          <cell r="J51" t="str">
            <v>62010-270</v>
          </cell>
          <cell r="K51">
            <v>904</v>
          </cell>
          <cell r="L51" t="str">
            <v>CE</v>
          </cell>
          <cell r="M51" t="str">
            <v>8820181085</v>
          </cell>
          <cell r="N51">
            <v>455</v>
          </cell>
          <cell r="O51" t="str">
            <v>8820181085</v>
          </cell>
          <cell r="P51" t="str">
            <v>breno.silva@facta.com.br</v>
          </cell>
          <cell r="Q51" t="str">
            <v>loja97927@factalojas.com.b</v>
          </cell>
          <cell r="S51" t="str">
            <v>loja97927@factalojas.com.b</v>
          </cell>
          <cell r="T51" t="str">
            <v>97927</v>
          </cell>
          <cell r="U51" t="str">
            <v/>
          </cell>
          <cell r="W51" t="str">
            <v>A</v>
          </cell>
        </row>
        <row r="52">
          <cell r="A52">
            <v>97928</v>
          </cell>
          <cell r="B52" t="str">
            <v>LOJA QUIXERAMOBIM - CE</v>
          </cell>
          <cell r="C52">
            <v>11041</v>
          </cell>
          <cell r="D52" t="str">
            <v>RUANA VIRGINIA DA SILVA SANTOS</v>
          </cell>
          <cell r="E52">
            <v>5452</v>
          </cell>
          <cell r="F52" t="str">
            <v>CRISTIANE CARVALHO GEBELATTO</v>
          </cell>
          <cell r="G52">
            <v>45603</v>
          </cell>
          <cell r="H52" t="str">
            <v>RUA MONS SALVIANO PINTO 455-A</v>
          </cell>
          <cell r="I52" t="str">
            <v>CENTRO</v>
          </cell>
          <cell r="J52" t="str">
            <v>63800-000</v>
          </cell>
          <cell r="K52">
            <v>1499</v>
          </cell>
          <cell r="L52" t="str">
            <v>CE</v>
          </cell>
          <cell r="M52" t="str">
            <v>8399855655</v>
          </cell>
          <cell r="N52">
            <v>453</v>
          </cell>
          <cell r="O52" t="str">
            <v>8399855655</v>
          </cell>
          <cell r="P52" t="str">
            <v>rafael.andrade@factalojas.com.br</v>
          </cell>
          <cell r="Q52" t="str">
            <v>loja97928@factalojas.com.br;rafael.andrade@factalojas.com.br</v>
          </cell>
          <cell r="S52" t="str">
            <v>loja97928@factalojas.com.br;rafael.andrade@factalojas.com.br</v>
          </cell>
          <cell r="T52" t="str">
            <v>97928</v>
          </cell>
          <cell r="U52" t="str">
            <v xml:space="preserve">_x000D_
</v>
          </cell>
          <cell r="W52" t="str">
            <v>A</v>
          </cell>
        </row>
        <row r="53">
          <cell r="A53">
            <v>7758</v>
          </cell>
          <cell r="B53" t="str">
            <v>LOJA FEIRA DE SANTANA - BA</v>
          </cell>
          <cell r="C53">
            <v>8919</v>
          </cell>
          <cell r="D53" t="str">
            <v>JESSICA ANDRADE DOS SANTOS</v>
          </cell>
          <cell r="E53">
            <v>5452</v>
          </cell>
          <cell r="F53" t="str">
            <v>CRISTIANE CARVALHO GEBELATTO</v>
          </cell>
          <cell r="G53">
            <v>45601</v>
          </cell>
          <cell r="H53" t="str">
            <v>RUA CONSELHEIRO FRANCO, 292</v>
          </cell>
          <cell r="I53" t="str">
            <v>CENTRO</v>
          </cell>
          <cell r="J53" t="str">
            <v>44002-128</v>
          </cell>
          <cell r="K53">
            <v>422</v>
          </cell>
          <cell r="L53" t="str">
            <v>BA</v>
          </cell>
          <cell r="M53" t="str">
            <v>7199278140</v>
          </cell>
          <cell r="N53">
            <v>425</v>
          </cell>
          <cell r="O53" t="str">
            <v>7199278140</v>
          </cell>
          <cell r="P53" t="str">
            <v>patricia.barros@factalojas.com.br</v>
          </cell>
          <cell r="Q53" t="str">
            <v>patricia.barros@factalojas.com.br</v>
          </cell>
          <cell r="S53" t="str">
            <v>jessica.santos@facta.com.br</v>
          </cell>
          <cell r="T53" t="str">
            <v>7758</v>
          </cell>
          <cell r="U53" t="str">
            <v/>
          </cell>
          <cell r="W53" t="str">
            <v>A</v>
          </cell>
        </row>
        <row r="54">
          <cell r="A54">
            <v>97913</v>
          </cell>
          <cell r="B54" t="str">
            <v>LOJA JUAZEIRO DO NORTE - CE</v>
          </cell>
          <cell r="C54">
            <v>11041</v>
          </cell>
          <cell r="D54" t="str">
            <v>RUANA VIRGINIA DA SILVA SANTOS</v>
          </cell>
          <cell r="E54">
            <v>5452</v>
          </cell>
          <cell r="F54" t="str">
            <v>CRISTIANE CARVALHO GEBELATTO</v>
          </cell>
          <cell r="G54">
            <v>45601</v>
          </cell>
          <cell r="H54" t="str">
            <v>RUA CONCEIÇÃO, 333</v>
          </cell>
          <cell r="I54" t="str">
            <v>SAO MIGUEL</v>
          </cell>
          <cell r="J54" t="str">
            <v>63010-032</v>
          </cell>
          <cell r="K54">
            <v>903</v>
          </cell>
          <cell r="L54" t="str">
            <v>CE</v>
          </cell>
          <cell r="N54">
            <v>456</v>
          </cell>
          <cell r="P54" t="str">
            <v>debora.santos@factalojas.com.br</v>
          </cell>
          <cell r="Q54" t="str">
            <v>loja97913@factalojas.com.br;debora.santos@factalojas.com.br</v>
          </cell>
          <cell r="S54" t="str">
            <v>loja97913@factalojas.com.br;debora.santos@factalojas.com.br</v>
          </cell>
          <cell r="T54" t="str">
            <v>97913</v>
          </cell>
          <cell r="U54" t="str">
            <v/>
          </cell>
          <cell r="W54" t="str">
            <v>A</v>
          </cell>
        </row>
        <row r="55">
          <cell r="A55">
            <v>31422</v>
          </cell>
          <cell r="B55" t="str">
            <v>LOJA PINHAIS - PR</v>
          </cell>
          <cell r="C55">
            <v>10803</v>
          </cell>
          <cell r="D55" t="str">
            <v>JOAO GUALBERTO BRAZ JUNIOR</v>
          </cell>
          <cell r="E55">
            <v>0</v>
          </cell>
          <cell r="G55">
            <v>45597</v>
          </cell>
          <cell r="H55" t="str">
            <v>AV. CAMILO DI LELLIS 348</v>
          </cell>
          <cell r="I55" t="str">
            <v>CENTRO</v>
          </cell>
          <cell r="J55" t="str">
            <v>83323-000</v>
          </cell>
          <cell r="K55">
            <v>6939834</v>
          </cell>
          <cell r="L55" t="str">
            <v>PR</v>
          </cell>
          <cell r="M55" t="str">
            <v>4120180038</v>
          </cell>
          <cell r="N55">
            <v>469</v>
          </cell>
          <cell r="O55" t="str">
            <v>4120180038</v>
          </cell>
          <cell r="P55" t="str">
            <v>kelvia.nogueira@factalojas.com.br;loja31422@factalojas.com.br</v>
          </cell>
          <cell r="Q55" t="str">
            <v>kelvia.nogueira@factalojas.com.br</v>
          </cell>
          <cell r="S55" t="str">
            <v>kelvia.nogueira@factalojas.com.br</v>
          </cell>
          <cell r="T55" t="str">
            <v>31422</v>
          </cell>
          <cell r="U55" t="str">
            <v/>
          </cell>
          <cell r="W55" t="str">
            <v>A</v>
          </cell>
        </row>
        <row r="56">
          <cell r="A56">
            <v>7756</v>
          </cell>
          <cell r="B56" t="str">
            <v>LOJA SANTO ANTONIO DE JESUS - BA</v>
          </cell>
          <cell r="C56">
            <v>8919</v>
          </cell>
          <cell r="D56" t="str">
            <v>JESSICA ANDRADE DOS SANTOS</v>
          </cell>
          <cell r="E56">
            <v>5452</v>
          </cell>
          <cell r="F56" t="str">
            <v>CRISTIANE CARVALHO GEBELATTO</v>
          </cell>
          <cell r="G56">
            <v>45596</v>
          </cell>
          <cell r="H56" t="str">
            <v>TRAVESSA 07 DE SETEMBRO 100, LOJA 03</v>
          </cell>
          <cell r="I56" t="str">
            <v>CENTRO</v>
          </cell>
          <cell r="J56" t="str">
            <v>44130-132</v>
          </cell>
          <cell r="K56">
            <v>27885</v>
          </cell>
          <cell r="L56" t="str">
            <v>BA</v>
          </cell>
          <cell r="N56">
            <v>318</v>
          </cell>
          <cell r="P56" t="str">
            <v>loja7756@factalojas.com.br;jessica.santos@facta.com.br;irlane.brito@factalojas.com.br</v>
          </cell>
          <cell r="Q56" t="str">
            <v>irlane.brito@factalojas.com.br</v>
          </cell>
          <cell r="S56" t="str">
            <v>jessica.santos@facta.com.br</v>
          </cell>
          <cell r="T56" t="str">
            <v>7756</v>
          </cell>
          <cell r="U56" t="str">
            <v/>
          </cell>
          <cell r="W56" t="str">
            <v>A</v>
          </cell>
        </row>
        <row r="57">
          <cell r="A57">
            <v>7757</v>
          </cell>
          <cell r="B57" t="str">
            <v>LOJA BELO HORIZONTE - VENDA NOVA - MG</v>
          </cell>
          <cell r="C57">
            <v>11192</v>
          </cell>
          <cell r="D57" t="str">
            <v>RENATO SOUZA DO ESPIRITO SANTO LANGA</v>
          </cell>
          <cell r="E57">
            <v>3026</v>
          </cell>
          <cell r="F57" t="str">
            <v>MAYARA NOVAIS LOPES</v>
          </cell>
          <cell r="G57">
            <v>45596</v>
          </cell>
          <cell r="H57" t="str">
            <v>RUA PADRE PEDRO PINTO, Nº 1583</v>
          </cell>
          <cell r="I57" t="str">
            <v>VENDA NOVA</v>
          </cell>
          <cell r="J57" t="str">
            <v>31510-000</v>
          </cell>
          <cell r="K57">
            <v>660</v>
          </cell>
          <cell r="L57" t="str">
            <v>MG</v>
          </cell>
          <cell r="M57" t="str">
            <v>3121520986</v>
          </cell>
          <cell r="N57">
            <v>317</v>
          </cell>
          <cell r="O57" t="str">
            <v>3121520986</v>
          </cell>
          <cell r="P57" t="str">
            <v>michelle.batista@factalojas.com.br</v>
          </cell>
          <cell r="Q57" t="str">
            <v>michelle.batista@factalojas.com.br</v>
          </cell>
          <cell r="S57" t="str">
            <v>michelle.batista@factalojas.com.br</v>
          </cell>
          <cell r="T57" t="str">
            <v>7757</v>
          </cell>
          <cell r="U57" t="str">
            <v/>
          </cell>
          <cell r="W57" t="str">
            <v>A</v>
          </cell>
        </row>
        <row r="58">
          <cell r="A58">
            <v>7755</v>
          </cell>
          <cell r="B58" t="str">
            <v>LOJA BELO HORIZONTE - BETANIA - MG</v>
          </cell>
          <cell r="C58">
            <v>11192</v>
          </cell>
          <cell r="D58" t="str">
            <v>RENATO SOUZA DO ESPIRITO SANTO LANGA</v>
          </cell>
          <cell r="E58">
            <v>3026</v>
          </cell>
          <cell r="F58" t="str">
            <v>MAYARA NOVAIS LOPES</v>
          </cell>
          <cell r="G58">
            <v>45569</v>
          </cell>
          <cell r="H58" t="str">
            <v>RUA URSULA PAULINO 1410, LOJA 7</v>
          </cell>
          <cell r="I58" t="str">
            <v>BETANIA</v>
          </cell>
          <cell r="J58" t="str">
            <v>30580-003</v>
          </cell>
          <cell r="K58">
            <v>660</v>
          </cell>
          <cell r="L58" t="str">
            <v>MG</v>
          </cell>
          <cell r="N58">
            <v>403</v>
          </cell>
          <cell r="P58" t="str">
            <v>liamara.silva@factalojas.com.br</v>
          </cell>
          <cell r="Q58" t="str">
            <v>loja7755@factalojas.com.br</v>
          </cell>
          <cell r="S58" t="str">
            <v>loja7755@factalojas.com.br</v>
          </cell>
          <cell r="T58" t="str">
            <v>7755</v>
          </cell>
          <cell r="W58" t="str">
            <v>A</v>
          </cell>
        </row>
        <row r="59">
          <cell r="A59">
            <v>149200</v>
          </cell>
          <cell r="B59" t="str">
            <v>CALL CENTER PRODUTOS E SERVICOS 10</v>
          </cell>
          <cell r="C59">
            <v>5723</v>
          </cell>
          <cell r="D59" t="str">
            <v>TERESINHA DE JESUS FREITAS SOARES</v>
          </cell>
          <cell r="E59">
            <v>15556</v>
          </cell>
          <cell r="F59" t="str">
            <v>FERNANDA APARECIDA TOMAZINI</v>
          </cell>
          <cell r="G59">
            <v>45545</v>
          </cell>
          <cell r="H59" t="str">
            <v>RUA BORGES DE MEDEIROS 410, SALA 1209</v>
          </cell>
          <cell r="I59" t="str">
            <v>CENTRO</v>
          </cell>
          <cell r="J59" t="str">
            <v>90020-022</v>
          </cell>
          <cell r="K59">
            <v>35</v>
          </cell>
          <cell r="L59" t="str">
            <v>RS</v>
          </cell>
          <cell r="M59" t="str">
            <v>5130761818</v>
          </cell>
          <cell r="N59">
            <v>896</v>
          </cell>
          <cell r="O59" t="str">
            <v>5130761818</v>
          </cell>
          <cell r="P59" t="str">
            <v>santanamari0017@gmail.com</v>
          </cell>
          <cell r="Q59" t="str">
            <v>luiz.medeiros@facta.com.br</v>
          </cell>
          <cell r="S59" t="str">
            <v>alisson.pereira@facta.com.br</v>
          </cell>
          <cell r="T59" t="str">
            <v>149200</v>
          </cell>
          <cell r="U59" t="str">
            <v xml:space="preserve">_x000D_
</v>
          </cell>
          <cell r="W59" t="str">
            <v>A</v>
          </cell>
        </row>
        <row r="60">
          <cell r="A60">
            <v>149300</v>
          </cell>
          <cell r="B60" t="str">
            <v>CALL CENTER PRODUTOS E SERVICOS 11</v>
          </cell>
          <cell r="C60">
            <v>5723</v>
          </cell>
          <cell r="D60" t="str">
            <v>TERESINHA DE JESUS FREITAS SOARES</v>
          </cell>
          <cell r="E60">
            <v>15556</v>
          </cell>
          <cell r="F60" t="str">
            <v>FERNANDA APARECIDA TOMAZINI</v>
          </cell>
          <cell r="G60">
            <v>45545</v>
          </cell>
          <cell r="H60" t="str">
            <v>RUA BORGES DE MEDEIROS 410, SALA 1209</v>
          </cell>
          <cell r="I60" t="str">
            <v>CENTRO</v>
          </cell>
          <cell r="J60" t="str">
            <v>90020-022</v>
          </cell>
          <cell r="K60">
            <v>35</v>
          </cell>
          <cell r="L60" t="str">
            <v>RS</v>
          </cell>
          <cell r="M60" t="str">
            <v>5130761818</v>
          </cell>
          <cell r="N60">
            <v>898</v>
          </cell>
          <cell r="O60" t="str">
            <v>5130761818</v>
          </cell>
          <cell r="Q60" t="str">
            <v>luiz.medeiros@facta.com.br</v>
          </cell>
          <cell r="S60" t="str">
            <v>alisson.pereira@facta.com.br</v>
          </cell>
          <cell r="T60" t="str">
            <v>149300</v>
          </cell>
          <cell r="U60" t="str">
            <v/>
          </cell>
          <cell r="W60" t="str">
            <v>A</v>
          </cell>
        </row>
        <row r="61">
          <cell r="A61">
            <v>149900</v>
          </cell>
          <cell r="B61" t="str">
            <v>CALL CENTER PRODUTOS E SERVICOS 12</v>
          </cell>
          <cell r="C61">
            <v>11407</v>
          </cell>
          <cell r="D61" t="str">
            <v>ALISSON MONEGO PEREIRA</v>
          </cell>
          <cell r="E61">
            <v>15556</v>
          </cell>
          <cell r="F61" t="str">
            <v>FERNANDA APARECIDA TOMAZINI</v>
          </cell>
          <cell r="G61">
            <v>45545</v>
          </cell>
          <cell r="H61" t="str">
            <v>RUA BORGES DE MEDEIROS 410, SALA 1209</v>
          </cell>
          <cell r="I61" t="str">
            <v>CENTRO</v>
          </cell>
          <cell r="J61" t="str">
            <v>90020-022</v>
          </cell>
          <cell r="K61">
            <v>35</v>
          </cell>
          <cell r="L61" t="str">
            <v>RS</v>
          </cell>
          <cell r="M61" t="str">
            <v>5130761818</v>
          </cell>
          <cell r="N61">
            <v>899</v>
          </cell>
          <cell r="O61" t="str">
            <v>5130761818</v>
          </cell>
          <cell r="P61" t="str">
            <v>teresinha.soares@facta.com.br, alisson.pereira@facta.com.br</v>
          </cell>
          <cell r="Q61" t="str">
            <v>luiz.medeiros@facta.com.br</v>
          </cell>
          <cell r="S61" t="str">
            <v>alisson.pereira@facta.com.br</v>
          </cell>
          <cell r="T61" t="str">
            <v>149900</v>
          </cell>
          <cell r="W61" t="str">
            <v>A</v>
          </cell>
        </row>
        <row r="62">
          <cell r="A62">
            <v>159100</v>
          </cell>
          <cell r="B62" t="str">
            <v>CALL CENTER PRODUTOS E SERVICOS 13</v>
          </cell>
          <cell r="C62">
            <v>11407</v>
          </cell>
          <cell r="D62" t="str">
            <v>ALISSON MONEGO PEREIRA</v>
          </cell>
          <cell r="E62">
            <v>15556</v>
          </cell>
          <cell r="F62" t="str">
            <v>FERNANDA APARECIDA TOMAZINI</v>
          </cell>
          <cell r="G62">
            <v>45545</v>
          </cell>
          <cell r="H62" t="str">
            <v>RUA BORGES DE MEDEIROS 410, SALA 1209</v>
          </cell>
          <cell r="I62" t="str">
            <v>CENTRO</v>
          </cell>
          <cell r="J62" t="str">
            <v>90020-022</v>
          </cell>
          <cell r="K62">
            <v>35</v>
          </cell>
          <cell r="L62" t="str">
            <v>RS</v>
          </cell>
          <cell r="M62" t="str">
            <v>5130761818</v>
          </cell>
          <cell r="N62">
            <v>900</v>
          </cell>
          <cell r="O62" t="str">
            <v>5130761818</v>
          </cell>
          <cell r="P62" t="str">
            <v>luiz.medeiros@facta.com.br;</v>
          </cell>
          <cell r="Q62" t="str">
            <v>luiz.medeiros@facta.com.br</v>
          </cell>
          <cell r="S62" t="str">
            <v>alisson.pereira@facta.com.br</v>
          </cell>
          <cell r="T62" t="str">
            <v>159100</v>
          </cell>
          <cell r="U62" t="str">
            <v/>
          </cell>
          <cell r="W62" t="str">
            <v>A</v>
          </cell>
        </row>
        <row r="63">
          <cell r="A63">
            <v>159200</v>
          </cell>
          <cell r="B63" t="str">
            <v>CALL CENTER PRODUTOS E SERVICOS 14</v>
          </cell>
          <cell r="C63">
            <v>11407</v>
          </cell>
          <cell r="D63" t="str">
            <v>ALISSON MONEGO PEREIRA</v>
          </cell>
          <cell r="E63">
            <v>15556</v>
          </cell>
          <cell r="F63" t="str">
            <v>FERNANDA APARECIDA TOMAZINI</v>
          </cell>
          <cell r="G63">
            <v>45545</v>
          </cell>
          <cell r="H63" t="str">
            <v>RUA BORGES DE MEDEIROS 410, SALA 1209</v>
          </cell>
          <cell r="I63" t="str">
            <v>CENTRO</v>
          </cell>
          <cell r="J63" t="str">
            <v>90020-022</v>
          </cell>
          <cell r="K63">
            <v>35</v>
          </cell>
          <cell r="L63" t="str">
            <v>RS</v>
          </cell>
          <cell r="M63" t="str">
            <v>5130761818</v>
          </cell>
          <cell r="N63">
            <v>901</v>
          </cell>
          <cell r="O63" t="str">
            <v>5130761818</v>
          </cell>
          <cell r="P63" t="str">
            <v>alisson.pereira@facta.com.br</v>
          </cell>
          <cell r="Q63" t="str">
            <v>luiz.medeiros@facta.com.br</v>
          </cell>
          <cell r="S63" t="str">
            <v>alisson.pereira@facta.com.br</v>
          </cell>
          <cell r="T63" t="str">
            <v>159200</v>
          </cell>
          <cell r="W63" t="str">
            <v>A</v>
          </cell>
        </row>
        <row r="64">
          <cell r="A64">
            <v>159300</v>
          </cell>
          <cell r="B64" t="str">
            <v>CALL CENTER PRODUTOS E SERVICOS 15</v>
          </cell>
          <cell r="C64">
            <v>11407</v>
          </cell>
          <cell r="D64" t="str">
            <v>ALISSON MONEGO PEREIRA</v>
          </cell>
          <cell r="E64">
            <v>15556</v>
          </cell>
          <cell r="F64" t="str">
            <v>FERNANDA APARECIDA TOMAZINI</v>
          </cell>
          <cell r="G64">
            <v>45545</v>
          </cell>
          <cell r="H64" t="str">
            <v>RUA BORGES DE MEDEIROS 410, SALA 1209</v>
          </cell>
          <cell r="I64" t="str">
            <v>CENTRO</v>
          </cell>
          <cell r="J64" t="str">
            <v>90020-022</v>
          </cell>
          <cell r="K64">
            <v>35</v>
          </cell>
          <cell r="L64" t="str">
            <v>RS</v>
          </cell>
          <cell r="M64" t="str">
            <v>5130761818</v>
          </cell>
          <cell r="N64">
            <v>902</v>
          </cell>
          <cell r="O64" t="str">
            <v>5130761818</v>
          </cell>
          <cell r="P64" t="str">
            <v>fernanda.machado@facta.com.br;luiz.medeiros@facta.com.br</v>
          </cell>
          <cell r="Q64" t="str">
            <v>luiz.medeiros@facta.com.br</v>
          </cell>
          <cell r="S64" t="str">
            <v>alisson.pereira@facta.com.br</v>
          </cell>
          <cell r="T64" t="str">
            <v>159300</v>
          </cell>
          <cell r="W64" t="str">
            <v>A</v>
          </cell>
        </row>
        <row r="65">
          <cell r="A65">
            <v>159400</v>
          </cell>
          <cell r="B65" t="str">
            <v>CALL CENTER PRODUTOS E SERVICOS 16</v>
          </cell>
          <cell r="C65">
            <v>11407</v>
          </cell>
          <cell r="D65" t="str">
            <v>ALISSON MONEGO PEREIRA</v>
          </cell>
          <cell r="E65">
            <v>15556</v>
          </cell>
          <cell r="F65" t="str">
            <v>FERNANDA APARECIDA TOMAZINI</v>
          </cell>
          <cell r="G65">
            <v>45545</v>
          </cell>
          <cell r="H65" t="str">
            <v>RUA BORGES DE MEDEIROS 410, SALA 1209</v>
          </cell>
          <cell r="I65" t="str">
            <v>CENTRO</v>
          </cell>
          <cell r="J65" t="str">
            <v>90020-022</v>
          </cell>
          <cell r="K65">
            <v>35</v>
          </cell>
          <cell r="L65" t="str">
            <v>RS</v>
          </cell>
          <cell r="M65" t="str">
            <v>5130761818</v>
          </cell>
          <cell r="N65">
            <v>903</v>
          </cell>
          <cell r="O65" t="str">
            <v>5130761818</v>
          </cell>
          <cell r="P65" t="str">
            <v>julia.kunde@factacall.com.br;alisson.pereira@facta.com.br</v>
          </cell>
          <cell r="Q65" t="str">
            <v>luiz.medeiros@facta.com.br;alisson.pereira@facta.com.br</v>
          </cell>
          <cell r="S65" t="str">
            <v>julia.kunde@factacall.com.br;alisson.pereira@facta.com.br</v>
          </cell>
          <cell r="T65" t="str">
            <v>159400</v>
          </cell>
          <cell r="U65" t="str">
            <v/>
          </cell>
          <cell r="W65" t="str">
            <v>A</v>
          </cell>
        </row>
        <row r="66">
          <cell r="A66">
            <v>159500</v>
          </cell>
          <cell r="B66" t="str">
            <v>CALL CENTER PRODUTOS E SERVICOS 17</v>
          </cell>
          <cell r="C66">
            <v>5723</v>
          </cell>
          <cell r="D66" t="str">
            <v>TERESINHA DE JESUS FREITAS SOARES</v>
          </cell>
          <cell r="E66">
            <v>15556</v>
          </cell>
          <cell r="F66" t="str">
            <v>FERNANDA APARECIDA TOMAZINI</v>
          </cell>
          <cell r="G66">
            <v>45545</v>
          </cell>
          <cell r="H66" t="str">
            <v>RUA BORGES DE MEDEIROS 410, SALA 1209</v>
          </cell>
          <cell r="I66" t="str">
            <v>CENTRO</v>
          </cell>
          <cell r="J66" t="str">
            <v>90020-022</v>
          </cell>
          <cell r="K66">
            <v>35</v>
          </cell>
          <cell r="L66" t="str">
            <v>RS</v>
          </cell>
          <cell r="M66" t="str">
            <v>5130761818</v>
          </cell>
          <cell r="N66">
            <v>904</v>
          </cell>
          <cell r="O66" t="str">
            <v>5130761818</v>
          </cell>
          <cell r="P66" t="str">
            <v>teresinha.soares@facta.com.br, alisson.pereira@facta.com.br</v>
          </cell>
          <cell r="Q66" t="str">
            <v>luiz.medeiros@facta.com.br</v>
          </cell>
          <cell r="S66" t="str">
            <v>alisson.pereira@facta.com.br</v>
          </cell>
          <cell r="T66" t="str">
            <v>159500</v>
          </cell>
          <cell r="U66" t="str">
            <v/>
          </cell>
          <cell r="W66" t="str">
            <v>A</v>
          </cell>
        </row>
        <row r="67">
          <cell r="A67">
            <v>159600</v>
          </cell>
          <cell r="B67" t="str">
            <v>CALL CENTER PRODUTOS E SERVICOS 18</v>
          </cell>
          <cell r="C67">
            <v>11407</v>
          </cell>
          <cell r="D67" t="str">
            <v>ALISSON MONEGO PEREIRA</v>
          </cell>
          <cell r="E67">
            <v>15556</v>
          </cell>
          <cell r="F67" t="str">
            <v>FERNANDA APARECIDA TOMAZINI</v>
          </cell>
          <cell r="G67">
            <v>45545</v>
          </cell>
          <cell r="H67" t="str">
            <v>RUA BORGES DE MEDEIROS 410, SALA 1209</v>
          </cell>
          <cell r="I67" t="str">
            <v>CENTRO</v>
          </cell>
          <cell r="J67" t="str">
            <v>90020-022</v>
          </cell>
          <cell r="K67">
            <v>35</v>
          </cell>
          <cell r="L67" t="str">
            <v>RS</v>
          </cell>
          <cell r="M67" t="str">
            <v>51 30761818</v>
          </cell>
          <cell r="N67">
            <v>905</v>
          </cell>
          <cell r="O67" t="str">
            <v>51 30761818</v>
          </cell>
          <cell r="P67" t="str">
            <v>alisson.pereira@facta.com.br</v>
          </cell>
          <cell r="Q67" t="str">
            <v>luiz.medeiros@facta.com.br</v>
          </cell>
          <cell r="S67" t="str">
            <v>alisson.pereira@facta.com.br</v>
          </cell>
          <cell r="T67" t="str">
            <v>159600</v>
          </cell>
          <cell r="W67" t="str">
            <v>A</v>
          </cell>
        </row>
        <row r="68">
          <cell r="A68">
            <v>149100</v>
          </cell>
          <cell r="B68" t="str">
            <v>CALL CENTER PRODUTOS</v>
          </cell>
          <cell r="C68">
            <v>11407</v>
          </cell>
          <cell r="D68" t="str">
            <v>ALISSON MONEGO PEREIRA</v>
          </cell>
          <cell r="E68">
            <v>15556</v>
          </cell>
          <cell r="F68" t="str">
            <v>FERNANDA APARECIDA TOMAZINI</v>
          </cell>
          <cell r="G68">
            <v>45526</v>
          </cell>
          <cell r="H68" t="str">
            <v>R VIGARIO JOSE INACIO 258 / 260, ANDAR 2</v>
          </cell>
          <cell r="I68" t="str">
            <v>CENTRO HISTORICO</v>
          </cell>
          <cell r="J68" t="str">
            <v>90020-100</v>
          </cell>
          <cell r="K68">
            <v>35</v>
          </cell>
          <cell r="L68" t="str">
            <v>RS</v>
          </cell>
          <cell r="M68" t="str">
            <v>5130761818</v>
          </cell>
          <cell r="N68">
            <v>871</v>
          </cell>
          <cell r="O68" t="str">
            <v>5130761818</v>
          </cell>
          <cell r="P68" t="str">
            <v>teresinha.soares@facta.com.br</v>
          </cell>
          <cell r="Q68" t="str">
            <v>luiz.medeiros@facta.com.br</v>
          </cell>
          <cell r="S68" t="str">
            <v>alisson.pereira@facta.com.br</v>
          </cell>
          <cell r="T68" t="str">
            <v>149100</v>
          </cell>
          <cell r="U68" t="str">
            <v xml:space="preserve">_x000D_
</v>
          </cell>
          <cell r="W68" t="str">
            <v>A</v>
          </cell>
        </row>
        <row r="69">
          <cell r="A69">
            <v>97616</v>
          </cell>
          <cell r="B69" t="str">
            <v>LOJA MARANGUAPE - CE</v>
          </cell>
          <cell r="C69">
            <v>9823</v>
          </cell>
          <cell r="D69" t="str">
            <v>BRENO ROCHA HONORATO DA SILVA</v>
          </cell>
          <cell r="E69">
            <v>5452</v>
          </cell>
          <cell r="F69" t="str">
            <v>CRISTIANE CARVALHO GEBELATTO</v>
          </cell>
          <cell r="G69">
            <v>45520</v>
          </cell>
          <cell r="H69" t="str">
            <v>RUA MUNDICA PAULA  66</v>
          </cell>
          <cell r="I69" t="str">
            <v>CENTRO</v>
          </cell>
          <cell r="J69" t="str">
            <v>61940-145</v>
          </cell>
          <cell r="K69">
            <v>1358</v>
          </cell>
          <cell r="L69" t="str">
            <v>CE</v>
          </cell>
          <cell r="N69">
            <v>543</v>
          </cell>
          <cell r="P69" t="str">
            <v>francisco.nascimento@factalojas.com.br</v>
          </cell>
          <cell r="Q69" t="str">
            <v>loja97616@factalojas.com.br</v>
          </cell>
          <cell r="S69" t="str">
            <v>loja97616@factalojas.com.br</v>
          </cell>
          <cell r="T69" t="str">
            <v>97616</v>
          </cell>
          <cell r="W69" t="str">
            <v>A</v>
          </cell>
        </row>
        <row r="70">
          <cell r="A70">
            <v>97538</v>
          </cell>
          <cell r="B70" t="str">
            <v>LOJA MARACANAU - CE</v>
          </cell>
          <cell r="C70">
            <v>9823</v>
          </cell>
          <cell r="D70" t="str">
            <v>BRENO ROCHA HONORATO DA SILVA</v>
          </cell>
          <cell r="E70">
            <v>5452</v>
          </cell>
          <cell r="F70" t="str">
            <v>CRISTIANE CARVALHO GEBELATTO</v>
          </cell>
          <cell r="G70">
            <v>45496</v>
          </cell>
          <cell r="H70" t="str">
            <v>RUA JOÃO DE ALENCAR 113, LOJA 25</v>
          </cell>
          <cell r="I70" t="str">
            <v>CENTRO</v>
          </cell>
          <cell r="J70" t="str">
            <v>61901-085</v>
          </cell>
          <cell r="K70">
            <v>1355</v>
          </cell>
          <cell r="L70" t="str">
            <v>CE</v>
          </cell>
          <cell r="M70" t="str">
            <v>8535121120</v>
          </cell>
          <cell r="N70">
            <v>542</v>
          </cell>
          <cell r="O70" t="str">
            <v>8535121120</v>
          </cell>
          <cell r="P70" t="str">
            <v>amalia.peixoto@factalojas.com.br</v>
          </cell>
          <cell r="Q70" t="str">
            <v>loja97538@factalojas.com.br</v>
          </cell>
          <cell r="S70" t="str">
            <v>loja97538@factalojas.com.br</v>
          </cell>
          <cell r="T70" t="str">
            <v>97538</v>
          </cell>
          <cell r="U70" t="str">
            <v/>
          </cell>
          <cell r="W70" t="str">
            <v>A</v>
          </cell>
        </row>
        <row r="71">
          <cell r="A71">
            <v>97521</v>
          </cell>
          <cell r="B71" t="str">
            <v>LOJA CAUCAIA - CE</v>
          </cell>
          <cell r="C71">
            <v>9823</v>
          </cell>
          <cell r="D71" t="str">
            <v>BRENO ROCHA HONORATO DA SILVA</v>
          </cell>
          <cell r="E71">
            <v>5452</v>
          </cell>
          <cell r="F71" t="str">
            <v>CRISTIANE CARVALHO GEBELATTO</v>
          </cell>
          <cell r="G71">
            <v>45490</v>
          </cell>
          <cell r="H71" t="str">
            <v xml:space="preserve">RUA CORONEL CORREIA 1661 (BR 222) </v>
          </cell>
          <cell r="I71" t="str">
            <v>CENTRO</v>
          </cell>
          <cell r="J71" t="str">
            <v>61600-004</v>
          </cell>
          <cell r="K71">
            <v>1103</v>
          </cell>
          <cell r="L71" t="str">
            <v>CE</v>
          </cell>
          <cell r="N71">
            <v>541</v>
          </cell>
          <cell r="P71" t="str">
            <v>loja.97521@factalojas.com.br;karueny.pereira@factalojas.com.br</v>
          </cell>
          <cell r="Q71" t="str">
            <v>loja97521@factalojas.com.br</v>
          </cell>
          <cell r="S71" t="str">
            <v>loja97521@factalojas.com.br</v>
          </cell>
          <cell r="T71" t="str">
            <v>97521</v>
          </cell>
          <cell r="U71" t="str">
            <v/>
          </cell>
          <cell r="W71" t="str">
            <v>A</v>
          </cell>
        </row>
        <row r="72">
          <cell r="A72">
            <v>61049</v>
          </cell>
          <cell r="B72" t="str">
            <v>LOJA SAO GONCALO - RJ</v>
          </cell>
          <cell r="C72">
            <v>10527</v>
          </cell>
          <cell r="D72" t="str">
            <v>MARIA EDUARDA DELGADO MENESES</v>
          </cell>
          <cell r="E72">
            <v>6621</v>
          </cell>
          <cell r="F72" t="str">
            <v>THAYSA SANDIM DE SOUZA</v>
          </cell>
          <cell r="G72">
            <v>45483</v>
          </cell>
          <cell r="H72" t="str">
            <v>ESTRADA RAUL VEIGA, Nº 351, LJ 03 DO STILO SHOPP</v>
          </cell>
          <cell r="I72" t="str">
            <v>ALCANTARA</v>
          </cell>
          <cell r="J72" t="str">
            <v>24710-480</v>
          </cell>
          <cell r="K72">
            <v>26171</v>
          </cell>
          <cell r="L72" t="str">
            <v>RJ</v>
          </cell>
          <cell r="N72">
            <v>540</v>
          </cell>
          <cell r="P72" t="str">
            <v>fernanda.mendonca@factalojas.com.br</v>
          </cell>
          <cell r="Q72" t="str">
            <v>loja61049@factalojas.com.br</v>
          </cell>
          <cell r="S72" t="str">
            <v>loja61049@factalojas.com.br</v>
          </cell>
          <cell r="T72" t="str">
            <v>61049</v>
          </cell>
          <cell r="U72" t="str">
            <v xml:space="preserve">_x000D_
</v>
          </cell>
          <cell r="W72" t="str">
            <v>A</v>
          </cell>
        </row>
        <row r="73">
          <cell r="A73">
            <v>101</v>
          </cell>
          <cell r="B73" t="str">
            <v>CODIGO PROGRAMACAO - LOJA</v>
          </cell>
          <cell r="C73">
            <v>0</v>
          </cell>
          <cell r="E73">
            <v>0</v>
          </cell>
          <cell r="G73">
            <v>45477</v>
          </cell>
          <cell r="H73" t="str">
            <v>R DOS ANDRADAS, 1409</v>
          </cell>
          <cell r="I73" t="str">
            <v>CENTRO</v>
          </cell>
          <cell r="J73" t="str">
            <v>90020-011</v>
          </cell>
          <cell r="K73">
            <v>35</v>
          </cell>
          <cell r="L73" t="str">
            <v>RS</v>
          </cell>
          <cell r="M73" t="str">
            <v>5133333333</v>
          </cell>
          <cell r="N73">
            <v>67</v>
          </cell>
          <cell r="O73" t="str">
            <v>5133333333</v>
          </cell>
          <cell r="P73" t="str">
            <v>programacao@facta.com.br</v>
          </cell>
          <cell r="Q73" t="str">
            <v>programacao@facta.com.br</v>
          </cell>
          <cell r="S73" t="str">
            <v>programacao@facta.com.br</v>
          </cell>
          <cell r="T73" t="str">
            <v>101</v>
          </cell>
          <cell r="W73" t="str">
            <v>A</v>
          </cell>
        </row>
        <row r="74">
          <cell r="A74">
            <v>11963</v>
          </cell>
          <cell r="B74" t="str">
            <v>LOJA LARANJEIRAS - ES</v>
          </cell>
          <cell r="C74">
            <v>3467</v>
          </cell>
          <cell r="D74" t="str">
            <v>GISELLE MORAES SCHNEIDER</v>
          </cell>
          <cell r="E74">
            <v>6621</v>
          </cell>
          <cell r="F74" t="str">
            <v>THAYSA SANDIM DE SOUZA</v>
          </cell>
          <cell r="G74">
            <v>45467</v>
          </cell>
          <cell r="H74" t="str">
            <v>RUA ISAAC NEWTON, Nº. 41</v>
          </cell>
          <cell r="I74" t="str">
            <v>LARANJEIRAS</v>
          </cell>
          <cell r="J74" t="str">
            <v>26165-180</v>
          </cell>
          <cell r="K74">
            <v>2344</v>
          </cell>
          <cell r="L74" t="str">
            <v>ES</v>
          </cell>
          <cell r="M74" t="str">
            <v>2720180949</v>
          </cell>
          <cell r="N74">
            <v>538</v>
          </cell>
          <cell r="O74" t="str">
            <v>2720180949</v>
          </cell>
          <cell r="P74" t="str">
            <v>paolla.renna@factalojas.com.br;loja11963@factalojas.com.br</v>
          </cell>
          <cell r="Q74" t="str">
            <v>loja11963@factalojas.com.br</v>
          </cell>
          <cell r="S74" t="str">
            <v>loja11963@factalojas.com.br</v>
          </cell>
          <cell r="T74" t="str">
            <v>11963</v>
          </cell>
          <cell r="U74" t="str">
            <v/>
          </cell>
          <cell r="W74" t="str">
            <v>A</v>
          </cell>
        </row>
        <row r="75">
          <cell r="A75">
            <v>11962</v>
          </cell>
          <cell r="B75" t="str">
            <v>LOJA CACHOEIRO DE ITAPEMIRIM - ES</v>
          </cell>
          <cell r="C75">
            <v>3467</v>
          </cell>
          <cell r="D75" t="str">
            <v>GISELLE MORAES SCHNEIDER</v>
          </cell>
          <cell r="E75">
            <v>6621</v>
          </cell>
          <cell r="F75" t="str">
            <v>THAYSA SANDIM DE SOUZA</v>
          </cell>
          <cell r="G75">
            <v>45448</v>
          </cell>
          <cell r="H75" t="str">
            <v>RUA PEDRO DIAS 11, TÉRREO</v>
          </cell>
          <cell r="I75" t="str">
            <v>GUANDU</v>
          </cell>
          <cell r="J75" t="str">
            <v>29300-770</v>
          </cell>
          <cell r="K75">
            <v>2340</v>
          </cell>
          <cell r="L75" t="str">
            <v>ES</v>
          </cell>
          <cell r="M75" t="str">
            <v>2831990198</v>
          </cell>
          <cell r="N75">
            <v>537</v>
          </cell>
          <cell r="O75" t="str">
            <v>2831990198</v>
          </cell>
          <cell r="P75" t="str">
            <v>isaac.silveira@factalojas.com.br</v>
          </cell>
          <cell r="Q75" t="str">
            <v>giselle.schneider@facta.com.br</v>
          </cell>
          <cell r="S75" t="str">
            <v>giselle.schneider@facta.com.br</v>
          </cell>
          <cell r="T75" t="str">
            <v>11962</v>
          </cell>
          <cell r="U75" t="str">
            <v/>
          </cell>
          <cell r="W75" t="str">
            <v>A</v>
          </cell>
        </row>
        <row r="76">
          <cell r="A76">
            <v>7754</v>
          </cell>
          <cell r="B76" t="str">
            <v>LOJA BETIM - MG</v>
          </cell>
          <cell r="C76">
            <v>11192</v>
          </cell>
          <cell r="D76" t="str">
            <v>RENATO SOUZA DO ESPIRITO SANTO LANGA</v>
          </cell>
          <cell r="E76">
            <v>3026</v>
          </cell>
          <cell r="F76" t="str">
            <v>MAYARA NOVAIS LOPES</v>
          </cell>
          <cell r="G76">
            <v>45426</v>
          </cell>
          <cell r="H76" t="str">
            <v>RUA NICOLAU ALVES DE MELO 49</v>
          </cell>
          <cell r="I76" t="str">
            <v>CENTRO</v>
          </cell>
          <cell r="J76" t="str">
            <v>32600-046</v>
          </cell>
          <cell r="K76">
            <v>970294</v>
          </cell>
          <cell r="L76" t="str">
            <v>MG</v>
          </cell>
          <cell r="M76" t="str">
            <v>3121520985</v>
          </cell>
          <cell r="N76">
            <v>748</v>
          </cell>
          <cell r="O76" t="str">
            <v>3121520985</v>
          </cell>
          <cell r="P76" t="str">
            <v>ana.couto@factalojas.com.br</v>
          </cell>
          <cell r="Q76" t="str">
            <v>-</v>
          </cell>
          <cell r="S76" t="str">
            <v>ana.couto@factalojas.com.br;mayara.lopes@facta.com.br</v>
          </cell>
          <cell r="T76" t="str">
            <v>7754</v>
          </cell>
          <cell r="U76" t="str">
            <v/>
          </cell>
          <cell r="W76" t="str">
            <v>A</v>
          </cell>
        </row>
        <row r="77">
          <cell r="A77">
            <v>7753</v>
          </cell>
          <cell r="B77" t="str">
            <v>LOJA VITORIA DA CONQUISTA - BA</v>
          </cell>
          <cell r="C77">
            <v>15077</v>
          </cell>
          <cell r="D77" t="str">
            <v>JOSE WELLINGTON DE SOUSA COSTA</v>
          </cell>
          <cell r="E77">
            <v>5452</v>
          </cell>
          <cell r="F77" t="str">
            <v>CRISTIANE CARVALHO GEBELATTO</v>
          </cell>
          <cell r="G77">
            <v>45399</v>
          </cell>
          <cell r="H77" t="str">
            <v>RUA FRANCISCO SANTOS 240, LOJA  02</v>
          </cell>
          <cell r="I77" t="str">
            <v>CENTRO</v>
          </cell>
          <cell r="J77" t="str">
            <v>45000-375</v>
          </cell>
          <cell r="K77">
            <v>970881</v>
          </cell>
          <cell r="L77" t="str">
            <v>BA</v>
          </cell>
          <cell r="M77" t="str">
            <v>7720181430</v>
          </cell>
          <cell r="N77">
            <v>532</v>
          </cell>
          <cell r="O77" t="str">
            <v>7720181430</v>
          </cell>
          <cell r="P77" t="str">
            <v>jose.sousa@facta.com.br; fulvio.lacerda@factalojas.com.br</v>
          </cell>
          <cell r="Q77" t="str">
            <v>jose.sousa@facta.com.br;fulvio.lacerda@factalojas.com.br</v>
          </cell>
          <cell r="S77" t="str">
            <v>jose.sousa@facta.com.br;fulvio.lacerda@factalojas.com.br</v>
          </cell>
          <cell r="T77" t="str">
            <v>7753</v>
          </cell>
          <cell r="U77" t="str">
            <v/>
          </cell>
          <cell r="W77" t="str">
            <v>A</v>
          </cell>
        </row>
        <row r="78">
          <cell r="A78">
            <v>13977</v>
          </cell>
          <cell r="B78" t="str">
            <v>LOJA BACABAL - MA</v>
          </cell>
          <cell r="C78">
            <v>5313</v>
          </cell>
          <cell r="D78" t="str">
            <v>LUCIANE DA SILVA FONSECA PINHEIRO</v>
          </cell>
          <cell r="E78">
            <v>3026</v>
          </cell>
          <cell r="F78" t="str">
            <v>MAYARA NOVAIS LOPES</v>
          </cell>
          <cell r="G78">
            <v>45399</v>
          </cell>
          <cell r="H78" t="str">
            <v>AV CARLOS SARDINHA 121</v>
          </cell>
          <cell r="I78" t="str">
            <v>CENTRO</v>
          </cell>
          <cell r="J78" t="str">
            <v>65700-000</v>
          </cell>
          <cell r="K78">
            <v>610</v>
          </cell>
          <cell r="L78" t="str">
            <v>MA</v>
          </cell>
          <cell r="N78">
            <v>535</v>
          </cell>
          <cell r="P78" t="str">
            <v>marcelo.lopes@factalojas.com.br</v>
          </cell>
          <cell r="Q78" t="str">
            <v>marcelo.lopes@factalojas.com.br</v>
          </cell>
          <cell r="S78" t="str">
            <v>marcelo.lopes@factalojas.com.br</v>
          </cell>
          <cell r="T78" t="str">
            <v>13977</v>
          </cell>
          <cell r="U78" t="str">
            <v/>
          </cell>
          <cell r="W78" t="str">
            <v>A</v>
          </cell>
        </row>
        <row r="79">
          <cell r="A79">
            <v>7752</v>
          </cell>
          <cell r="B79" t="str">
            <v>LOJA EUNAPOLIS - BA</v>
          </cell>
          <cell r="C79">
            <v>15077</v>
          </cell>
          <cell r="D79" t="str">
            <v>JOSE WELLINGTON DE SOUSA COSTA</v>
          </cell>
          <cell r="E79">
            <v>5452</v>
          </cell>
          <cell r="F79" t="str">
            <v>CRISTIANE CARVALHO GEBELATTO</v>
          </cell>
          <cell r="G79">
            <v>45394</v>
          </cell>
          <cell r="H79" t="str">
            <v>AV. DOM PEDRO II 438</v>
          </cell>
          <cell r="I79" t="str">
            <v>CENTRO</v>
          </cell>
          <cell r="J79" t="str">
            <v>45821-020</v>
          </cell>
          <cell r="K79">
            <v>28139</v>
          </cell>
          <cell r="L79" t="str">
            <v>BA</v>
          </cell>
          <cell r="N79">
            <v>534</v>
          </cell>
          <cell r="P79" t="str">
            <v>naiane.bomjardim@factalojas.com.br;jose.sousa@facta.com.br</v>
          </cell>
          <cell r="Q79" t="str">
            <v>naiane.bomjardim@factalojas.com.br;jose.sousa@facta.com.br</v>
          </cell>
          <cell r="S79" t="str">
            <v>naiane.bomjardim@factalojas.com.br;jose.sousa@facta.com.br</v>
          </cell>
          <cell r="T79" t="str">
            <v>7752</v>
          </cell>
          <cell r="U79" t="str">
            <v/>
          </cell>
          <cell r="W79" t="str">
            <v>A</v>
          </cell>
        </row>
        <row r="80">
          <cell r="A80">
            <v>7751</v>
          </cell>
          <cell r="B80" t="str">
            <v>LOJA ILHEUS - BA</v>
          </cell>
          <cell r="C80">
            <v>15077</v>
          </cell>
          <cell r="D80" t="str">
            <v>JOSE WELLINGTON DE SOUSA COSTA</v>
          </cell>
          <cell r="E80">
            <v>5452</v>
          </cell>
          <cell r="F80" t="str">
            <v>CRISTIANE CARVALHO GEBELATTO</v>
          </cell>
          <cell r="G80">
            <v>45390</v>
          </cell>
          <cell r="H80" t="str">
            <v>RUA EUSTAQUIO BASTOS 51 TERREO</v>
          </cell>
          <cell r="I80" t="str">
            <v>CENTRO</v>
          </cell>
          <cell r="J80" t="str">
            <v>45653-020</v>
          </cell>
          <cell r="K80">
            <v>28094</v>
          </cell>
          <cell r="L80" t="str">
            <v>BA</v>
          </cell>
          <cell r="N80">
            <v>533</v>
          </cell>
          <cell r="P80" t="str">
            <v>chauana.silva@factalojas.com.br</v>
          </cell>
          <cell r="Q80" t="str">
            <v>loja7751@factalojas.com.br</v>
          </cell>
          <cell r="S80" t="str">
            <v>-</v>
          </cell>
          <cell r="T80" t="str">
            <v>7751</v>
          </cell>
          <cell r="U80" t="str">
            <v xml:space="preserve">_x000D_
</v>
          </cell>
          <cell r="W80" t="str">
            <v>A</v>
          </cell>
        </row>
        <row r="81">
          <cell r="A81">
            <v>7749</v>
          </cell>
          <cell r="B81" t="str">
            <v>LOJA ITABUNA - BA</v>
          </cell>
          <cell r="C81">
            <v>15077</v>
          </cell>
          <cell r="D81" t="str">
            <v>JOSE WELLINGTON DE SOUSA COSTA</v>
          </cell>
          <cell r="E81">
            <v>5452</v>
          </cell>
          <cell r="F81" t="str">
            <v>CRISTIANE CARVALHO GEBELATTO</v>
          </cell>
          <cell r="G81">
            <v>45350</v>
          </cell>
          <cell r="H81" t="str">
            <v>RUA PAULINO VIEIRA 197, SALA 07</v>
          </cell>
          <cell r="I81" t="str">
            <v>CENTRO</v>
          </cell>
          <cell r="J81" t="str">
            <v>45600-170</v>
          </cell>
          <cell r="K81">
            <v>28083</v>
          </cell>
          <cell r="L81" t="str">
            <v>BA</v>
          </cell>
          <cell r="M81" t="str">
            <v>5199508474</v>
          </cell>
          <cell r="N81">
            <v>530</v>
          </cell>
          <cell r="O81" t="str">
            <v>5199508474</v>
          </cell>
          <cell r="P81" t="str">
            <v>michele.tavares@factalojas.com.br</v>
          </cell>
          <cell r="Q81" t="str">
            <v>jose.sousa@factalojas.com.br</v>
          </cell>
          <cell r="S81" t="str">
            <v>jose.sousa@factalojas.com.br</v>
          </cell>
          <cell r="T81" t="str">
            <v>7749</v>
          </cell>
          <cell r="U81" t="str">
            <v/>
          </cell>
          <cell r="W81" t="str">
            <v>A</v>
          </cell>
        </row>
        <row r="82">
          <cell r="A82">
            <v>7750</v>
          </cell>
          <cell r="B82" t="str">
            <v>LOJA PORTO SEGURO - BA</v>
          </cell>
          <cell r="C82">
            <v>15077</v>
          </cell>
          <cell r="D82" t="str">
            <v>JOSE WELLINGTON DE SOUSA COSTA</v>
          </cell>
          <cell r="E82">
            <v>5452</v>
          </cell>
          <cell r="F82" t="str">
            <v>CRISTIANE CARVALHO GEBELATTO</v>
          </cell>
          <cell r="G82">
            <v>45350</v>
          </cell>
          <cell r="H82" t="str">
            <v>RUA PERO VAZ DE CAMINHA, 475</v>
          </cell>
          <cell r="I82" t="str">
            <v xml:space="preserve">CENTRO </v>
          </cell>
          <cell r="J82" t="str">
            <v>45810-000</v>
          </cell>
          <cell r="K82">
            <v>28135</v>
          </cell>
          <cell r="L82" t="str">
            <v>BA</v>
          </cell>
          <cell r="M82" t="str">
            <v>7398152360</v>
          </cell>
          <cell r="N82">
            <v>531</v>
          </cell>
          <cell r="O82" t="str">
            <v>7398152360</v>
          </cell>
          <cell r="P82" t="str">
            <v>liliana.gomes@factalojas.com.br</v>
          </cell>
          <cell r="Q82" t="str">
            <v>-</v>
          </cell>
          <cell r="S82" t="str">
            <v>-</v>
          </cell>
          <cell r="T82" t="str">
            <v>7750</v>
          </cell>
          <cell r="U82" t="str">
            <v/>
          </cell>
          <cell r="W82" t="str">
            <v>A</v>
          </cell>
        </row>
        <row r="83">
          <cell r="A83">
            <v>49001</v>
          </cell>
          <cell r="B83" t="str">
            <v>LOJA ALMENARA - MG</v>
          </cell>
          <cell r="C83">
            <v>15077</v>
          </cell>
          <cell r="D83" t="str">
            <v>JOSE WELLINGTON DE SOUSA COSTA</v>
          </cell>
          <cell r="E83">
            <v>5452</v>
          </cell>
          <cell r="F83" t="str">
            <v>CRISTIANE CARVALHO GEBELATTO</v>
          </cell>
          <cell r="G83">
            <v>45350</v>
          </cell>
          <cell r="H83" t="str">
            <v>RUA ALEIXO PARAGUASSU 158, LOJA 2</v>
          </cell>
          <cell r="I83" t="str">
            <v>CENTRO</v>
          </cell>
          <cell r="J83" t="str">
            <v>39900-000</v>
          </cell>
          <cell r="K83">
            <v>970845</v>
          </cell>
          <cell r="L83" t="str">
            <v>MG</v>
          </cell>
          <cell r="M83" t="str">
            <v>7198317923</v>
          </cell>
          <cell r="N83">
            <v>529</v>
          </cell>
          <cell r="O83" t="str">
            <v>7198317923</v>
          </cell>
          <cell r="P83" t="str">
            <v>jose.sousa@facta.com.br;dayane.coelho@factalojas.com.br</v>
          </cell>
          <cell r="Q83" t="str">
            <v>loja49001@factalojas.com.br</v>
          </cell>
          <cell r="S83" t="str">
            <v>loja49001@factalojas.com.br</v>
          </cell>
          <cell r="T83" t="str">
            <v>49001</v>
          </cell>
          <cell r="U83" t="str">
            <v/>
          </cell>
          <cell r="W83" t="str">
            <v>A</v>
          </cell>
        </row>
        <row r="84">
          <cell r="A84">
            <v>96328</v>
          </cell>
          <cell r="B84" t="str">
            <v>LOJA MANAUS - EDUCANDOS - AM</v>
          </cell>
          <cell r="C84">
            <v>15964</v>
          </cell>
          <cell r="D84" t="str">
            <v>ROSELY RAMALHO DA SILVA DIAS</v>
          </cell>
          <cell r="E84">
            <v>3026</v>
          </cell>
          <cell r="F84" t="str">
            <v>MAYARA NOVAIS LOPES</v>
          </cell>
          <cell r="G84">
            <v>45302</v>
          </cell>
          <cell r="H84" t="str">
            <v>RUA LEOPOLDO PERES, 673</v>
          </cell>
          <cell r="I84" t="str">
            <v>EDUCANDOS</v>
          </cell>
          <cell r="J84" t="str">
            <v>69070-250</v>
          </cell>
          <cell r="K84">
            <v>3555</v>
          </cell>
          <cell r="L84" t="str">
            <v>AM</v>
          </cell>
          <cell r="M84" t="str">
            <v>9299218008</v>
          </cell>
          <cell r="N84">
            <v>524</v>
          </cell>
          <cell r="O84" t="str">
            <v>9299218008</v>
          </cell>
          <cell r="P84" t="str">
            <v>valeria.silva@factalojas.com.br</v>
          </cell>
          <cell r="Q84" t="str">
            <v>loja96328@factalojas.com.br</v>
          </cell>
          <cell r="S84" t="str">
            <v>loja96328@factalojas.com.br</v>
          </cell>
          <cell r="T84" t="str">
            <v>96328</v>
          </cell>
          <cell r="U84" t="str">
            <v xml:space="preserve">VALERIA MARTINS DA SILVA_x000D_
03859162217_x000D_
28924720_x000D_
18/10/1996_x000D_
</v>
          </cell>
          <cell r="W84" t="str">
            <v>A</v>
          </cell>
        </row>
        <row r="85">
          <cell r="A85">
            <v>96329</v>
          </cell>
          <cell r="B85" t="str">
            <v>LOJA MANAUS - CHAPADA - AM</v>
          </cell>
          <cell r="C85">
            <v>15964</v>
          </cell>
          <cell r="D85" t="str">
            <v>ROSELY RAMALHO DA SILVA DIAS</v>
          </cell>
          <cell r="E85">
            <v>3026</v>
          </cell>
          <cell r="F85" t="str">
            <v>MAYARA NOVAIS LOPES</v>
          </cell>
          <cell r="G85">
            <v>45302</v>
          </cell>
          <cell r="H85" t="str">
            <v>AV. DJALMA BATISTA, Nº 327</v>
          </cell>
          <cell r="I85" t="str">
            <v>CHAPADA</v>
          </cell>
          <cell r="J85" t="str">
            <v>69053-000</v>
          </cell>
          <cell r="K85">
            <v>3555</v>
          </cell>
          <cell r="L85" t="str">
            <v>AM</v>
          </cell>
          <cell r="M85" t="str">
            <v>9298133852</v>
          </cell>
          <cell r="N85">
            <v>522</v>
          </cell>
          <cell r="O85" t="str">
            <v>9298133852</v>
          </cell>
          <cell r="P85" t="str">
            <v>nathanyuri908@gmail.com</v>
          </cell>
          <cell r="Q85" t="str">
            <v>loja96329@factalojas.com.br</v>
          </cell>
          <cell r="S85" t="str">
            <v>rosely.dias@factalojas.com.br</v>
          </cell>
          <cell r="T85" t="str">
            <v>96329</v>
          </cell>
          <cell r="U85" t="str">
            <v xml:space="preserve">_x000D_
</v>
          </cell>
          <cell r="W85" t="str">
            <v>A</v>
          </cell>
        </row>
        <row r="86">
          <cell r="A86">
            <v>96330</v>
          </cell>
          <cell r="B86" t="str">
            <v>LOJA MANAUS - ALVORADA - AM</v>
          </cell>
          <cell r="C86">
            <v>15964</v>
          </cell>
          <cell r="D86" t="str">
            <v>ROSELY RAMALHO DA SILVA DIAS</v>
          </cell>
          <cell r="E86">
            <v>3026</v>
          </cell>
          <cell r="F86" t="str">
            <v>MAYARA NOVAIS LOPES</v>
          </cell>
          <cell r="G86">
            <v>45302</v>
          </cell>
          <cell r="H86" t="str">
            <v>AV. DESEMBARGADOR JOÃO MACHADO. Nº 340, LOJA B</v>
          </cell>
          <cell r="I86" t="str">
            <v>ALVORADA</v>
          </cell>
          <cell r="J86" t="str">
            <v>69042-360</v>
          </cell>
          <cell r="K86">
            <v>3555</v>
          </cell>
          <cell r="L86" t="str">
            <v>AM</v>
          </cell>
          <cell r="M86" t="str">
            <v>9281322210</v>
          </cell>
          <cell r="N86">
            <v>525</v>
          </cell>
          <cell r="O86" t="str">
            <v>9281322210</v>
          </cell>
          <cell r="P86" t="str">
            <v>eduarda.maciel@factalojas.com.br</v>
          </cell>
          <cell r="Q86" t="str">
            <v>loja96330@factalojas.com.br</v>
          </cell>
          <cell r="S86" t="str">
            <v>loja96330@factalojas.com.br</v>
          </cell>
          <cell r="T86" t="str">
            <v>96330</v>
          </cell>
          <cell r="U86" t="str">
            <v/>
          </cell>
          <cell r="W86" t="str">
            <v>A</v>
          </cell>
        </row>
        <row r="87">
          <cell r="A87">
            <v>96841</v>
          </cell>
          <cell r="B87" t="str">
            <v>CALL CENTER - CELULA TED</v>
          </cell>
          <cell r="E87">
            <v>0</v>
          </cell>
          <cell r="G87">
            <v>45273</v>
          </cell>
          <cell r="H87" t="str">
            <v>AV BORGES DE MEDEIROS 410, SALA 1201</v>
          </cell>
          <cell r="I87" t="str">
            <v>CENTRO</v>
          </cell>
          <cell r="J87" t="str">
            <v>90020-022</v>
          </cell>
          <cell r="K87">
            <v>35</v>
          </cell>
          <cell r="L87" t="str">
            <v>RS</v>
          </cell>
          <cell r="M87" t="str">
            <v>51 30761818</v>
          </cell>
          <cell r="N87">
            <v>0</v>
          </cell>
          <cell r="O87" t="str">
            <v>51 30761818</v>
          </cell>
          <cell r="P87" t="str">
            <v>denise.bolzan@facta.com.br</v>
          </cell>
          <cell r="Q87" t="str">
            <v>-</v>
          </cell>
          <cell r="S87" t="str">
            <v>-</v>
          </cell>
          <cell r="T87" t="str">
            <v>96841</v>
          </cell>
          <cell r="U87" t="str">
            <v/>
          </cell>
          <cell r="W87" t="str">
            <v>A</v>
          </cell>
        </row>
        <row r="88">
          <cell r="A88">
            <v>96713</v>
          </cell>
          <cell r="B88" t="str">
            <v xml:space="preserve">LOJA MANAUS - SAO JOSE OPERARIO - AM </v>
          </cell>
          <cell r="C88">
            <v>15964</v>
          </cell>
          <cell r="D88" t="str">
            <v>ROSELY RAMALHO DA SILVA DIAS</v>
          </cell>
          <cell r="E88">
            <v>3026</v>
          </cell>
          <cell r="F88" t="str">
            <v>MAYARA NOVAIS LOPES</v>
          </cell>
          <cell r="G88">
            <v>45237</v>
          </cell>
          <cell r="H88" t="str">
            <v>AV. AUTAZ MIRIM, 5679</v>
          </cell>
          <cell r="I88" t="str">
            <v>SAO JOSÉ OPERÁRIO</v>
          </cell>
          <cell r="J88" t="str">
            <v>69085-000</v>
          </cell>
          <cell r="K88">
            <v>3555</v>
          </cell>
          <cell r="L88" t="str">
            <v>AM</v>
          </cell>
          <cell r="M88" t="str">
            <v>9231997737</v>
          </cell>
          <cell r="N88">
            <v>519</v>
          </cell>
          <cell r="O88" t="str">
            <v>9231997737</v>
          </cell>
          <cell r="P88" t="str">
            <v>gusthavo.silva@factalojas.com.br</v>
          </cell>
          <cell r="Q88" t="str">
            <v>loja96713@factalojas.com.br</v>
          </cell>
          <cell r="S88" t="str">
            <v>loja96713@factalojas.com.br</v>
          </cell>
          <cell r="T88" t="str">
            <v>96713</v>
          </cell>
          <cell r="U88" t="str">
            <v>06079999269_x000D_
34778730_x000D_
27/08/2004</v>
          </cell>
          <cell r="W88" t="str">
            <v>A</v>
          </cell>
        </row>
        <row r="89">
          <cell r="A89">
            <v>96714</v>
          </cell>
          <cell r="B89" t="str">
            <v>LOJA MANAUS - COMPENSA - AM</v>
          </cell>
          <cell r="C89">
            <v>15964</v>
          </cell>
          <cell r="D89" t="str">
            <v>ROSELY RAMALHO DA SILVA DIAS</v>
          </cell>
          <cell r="E89">
            <v>3026</v>
          </cell>
          <cell r="F89" t="str">
            <v>MAYARA NOVAIS LOPES</v>
          </cell>
          <cell r="G89">
            <v>45237</v>
          </cell>
          <cell r="H89" t="str">
            <v>AV. BRASIL 45, LOJA D</v>
          </cell>
          <cell r="I89" t="str">
            <v>COMPENSA</v>
          </cell>
          <cell r="J89" t="str">
            <v>69036-110</v>
          </cell>
          <cell r="K89">
            <v>3555</v>
          </cell>
          <cell r="L89" t="str">
            <v>AM</v>
          </cell>
          <cell r="M89" t="str">
            <v>9292180088</v>
          </cell>
          <cell r="N89">
            <v>520</v>
          </cell>
          <cell r="O89" t="str">
            <v>9292180088</v>
          </cell>
          <cell r="P89" t="str">
            <v>stefany.monteiro@factalojas.com.br</v>
          </cell>
          <cell r="Q89" t="str">
            <v>mayara.lopes@facta.com.br;daniele.pereira@factalojas.com.br</v>
          </cell>
          <cell r="S89" t="str">
            <v>mayara.lopes@facta.com.br;daniele.pereira@factalojas.com.br</v>
          </cell>
          <cell r="T89" t="str">
            <v>96714</v>
          </cell>
          <cell r="U89" t="str">
            <v/>
          </cell>
          <cell r="W89" t="str">
            <v>A</v>
          </cell>
        </row>
        <row r="90">
          <cell r="A90">
            <v>96715</v>
          </cell>
          <cell r="B90" t="str">
            <v>LOJA SANTA RITA - PB</v>
          </cell>
          <cell r="C90">
            <v>9798</v>
          </cell>
          <cell r="D90" t="str">
            <v>WHANDERSON MATHEUS ARAUJO DA COSTA</v>
          </cell>
          <cell r="E90">
            <v>5452</v>
          </cell>
          <cell r="F90" t="str">
            <v>CRISTIANE CARVALHO GEBELATTO</v>
          </cell>
          <cell r="G90">
            <v>45237</v>
          </cell>
          <cell r="H90" t="str">
            <v>RUA FRANCISCO GOMES DE AZEVEDO, 11, SALA 11 C</v>
          </cell>
          <cell r="I90" t="str">
            <v>CENTRO</v>
          </cell>
          <cell r="J90" t="str">
            <v>58300-390</v>
          </cell>
          <cell r="K90">
            <v>3665</v>
          </cell>
          <cell r="L90" t="str">
            <v>PB</v>
          </cell>
          <cell r="N90">
            <v>514</v>
          </cell>
          <cell r="P90" t="str">
            <v>herick.lima@factalojas.com.br</v>
          </cell>
          <cell r="Q90" t="str">
            <v>loja96715@factalojas.com.br;herick.lima@factalojas.com.br</v>
          </cell>
          <cell r="S90" t="str">
            <v>loja96715@factalojas.com.br;herick.lima@factalojas.com.br</v>
          </cell>
          <cell r="T90" t="str">
            <v>96715</v>
          </cell>
          <cell r="U90" t="str">
            <v/>
          </cell>
          <cell r="W90" t="str">
            <v>A</v>
          </cell>
        </row>
        <row r="91">
          <cell r="A91">
            <v>96331</v>
          </cell>
          <cell r="B91" t="str">
            <v>LOJA MANAUS - CIDADE NOVA - AM</v>
          </cell>
          <cell r="C91">
            <v>15964</v>
          </cell>
          <cell r="D91" t="str">
            <v>ROSELY RAMALHO DA SILVA DIAS</v>
          </cell>
          <cell r="E91">
            <v>3026</v>
          </cell>
          <cell r="F91" t="str">
            <v>MAYARA NOVAIS LOPES</v>
          </cell>
          <cell r="G91">
            <v>45195</v>
          </cell>
          <cell r="H91" t="str">
            <v xml:space="preserve"> · Rua Professor Félix Valois, 63 </v>
          </cell>
          <cell r="I91" t="str">
            <v xml:space="preserve">Cidade Nova </v>
          </cell>
          <cell r="J91" t="str">
            <v>69095-010</v>
          </cell>
          <cell r="K91">
            <v>3555</v>
          </cell>
          <cell r="L91" t="str">
            <v>AM</v>
          </cell>
          <cell r="M91" t="str">
            <v>9231997727</v>
          </cell>
          <cell r="N91">
            <v>516</v>
          </cell>
          <cell r="O91" t="str">
            <v>9231997727</v>
          </cell>
          <cell r="P91" t="str">
            <v>adriana.silva@factalojas.com.br</v>
          </cell>
          <cell r="Q91" t="str">
            <v>adriana.silva@factalojas.com.br</v>
          </cell>
          <cell r="S91" t="str">
            <v>adriana.silva@factalojas.com.br</v>
          </cell>
          <cell r="T91" t="str">
            <v>96331</v>
          </cell>
          <cell r="U91" t="str">
            <v/>
          </cell>
          <cell r="W91" t="str">
            <v>A</v>
          </cell>
        </row>
        <row r="92">
          <cell r="A92">
            <v>94438</v>
          </cell>
          <cell r="B92" t="str">
            <v>LOJA LAURO DE FREITAS - BA</v>
          </cell>
          <cell r="C92">
            <v>8919</v>
          </cell>
          <cell r="D92" t="str">
            <v>JESSICA ANDRADE DOS SANTOS</v>
          </cell>
          <cell r="E92">
            <v>5452</v>
          </cell>
          <cell r="F92" t="str">
            <v>CRISTIANE CARVALHO GEBELATTO</v>
          </cell>
          <cell r="G92">
            <v>45120</v>
          </cell>
          <cell r="H92" t="str">
            <v>PRAÇA MARTINIANO MAIA 181 A</v>
          </cell>
          <cell r="I92" t="str">
            <v>CENTRO</v>
          </cell>
          <cell r="J92" t="str">
            <v>42702-720</v>
          </cell>
          <cell r="K92">
            <v>27793</v>
          </cell>
          <cell r="L92" t="str">
            <v>BA</v>
          </cell>
          <cell r="M92" t="str">
            <v>7131907772</v>
          </cell>
          <cell r="N92">
            <v>511</v>
          </cell>
          <cell r="O92" t="str">
            <v>7131907772</v>
          </cell>
          <cell r="P92" t="str">
            <v>mainara.santos@factalojas.com.br;jessica.santos@facta.com.br</v>
          </cell>
          <cell r="Q92" t="str">
            <v>loja94438@factalojas.com.br</v>
          </cell>
          <cell r="S92" t="str">
            <v>loja94438@factalojas.com.br;jessica.santos@facta.com.br</v>
          </cell>
          <cell r="T92" t="str">
            <v>94438</v>
          </cell>
          <cell r="U92" t="str">
            <v/>
          </cell>
          <cell r="W92" t="str">
            <v>A</v>
          </cell>
        </row>
        <row r="93">
          <cell r="A93">
            <v>94390</v>
          </cell>
          <cell r="B93" t="str">
            <v>LOJA PORTO ALEGRE - MARECHAL - RS</v>
          </cell>
          <cell r="C93">
            <v>10656</v>
          </cell>
          <cell r="D93" t="str">
            <v>VIVIANE FAGUNDES DE MELLO</v>
          </cell>
          <cell r="E93">
            <v>763</v>
          </cell>
          <cell r="F93" t="str">
            <v>ADRIELE DA SILVA SOUZA</v>
          </cell>
          <cell r="G93">
            <v>45072</v>
          </cell>
          <cell r="H93" t="str">
            <v>RUA MARECHAL FLORIANO PEIXOTO N° 44, LOJA 01 B</v>
          </cell>
          <cell r="I93" t="str">
            <v>CENTRO</v>
          </cell>
          <cell r="J93" t="str">
            <v>91550-895</v>
          </cell>
          <cell r="K93">
            <v>35</v>
          </cell>
          <cell r="L93" t="str">
            <v>RS</v>
          </cell>
          <cell r="M93" t="str">
            <v>5121657260</v>
          </cell>
          <cell r="N93">
            <v>510</v>
          </cell>
          <cell r="O93" t="str">
            <v>5121657260</v>
          </cell>
          <cell r="P93" t="str">
            <v>loja94390@facta.com.br</v>
          </cell>
          <cell r="Q93" t="str">
            <v>maisa.felten@factalojas.com.br</v>
          </cell>
          <cell r="S93" t="str">
            <v>maisa.felten@factalojas.com.br</v>
          </cell>
          <cell r="T93" t="str">
            <v>94390</v>
          </cell>
          <cell r="U93" t="str">
            <v/>
          </cell>
          <cell r="W93" t="str">
            <v>A</v>
          </cell>
        </row>
        <row r="94">
          <cell r="A94">
            <v>600098</v>
          </cell>
          <cell r="B94" t="str">
            <v>LOJA BRAGANCA - PA</v>
          </cell>
          <cell r="C94">
            <v>7503</v>
          </cell>
          <cell r="D94" t="str">
            <v>NAYRA BASTOS DA SILVA</v>
          </cell>
          <cell r="E94">
            <v>3026</v>
          </cell>
          <cell r="F94" t="str">
            <v>MAYARA NOVAIS LOPES</v>
          </cell>
          <cell r="G94">
            <v>44935</v>
          </cell>
          <cell r="H94" t="str">
            <v>TV VIGARIO MOTA 10, EDIF SIUFI, PONTO 3</v>
          </cell>
          <cell r="I94" t="str">
            <v>CENTRO</v>
          </cell>
          <cell r="J94" t="str">
            <v>68600-000</v>
          </cell>
          <cell r="K94">
            <v>970630</v>
          </cell>
          <cell r="L94" t="str">
            <v>PA</v>
          </cell>
          <cell r="N94">
            <v>506</v>
          </cell>
          <cell r="Q94" t="str">
            <v>loja600098@factalojas.com.br;sayda.melo@factalojas.com.br</v>
          </cell>
          <cell r="S94" t="str">
            <v>loja600098@factalojas.com.br;sayda.melo@factalojas.com.br</v>
          </cell>
          <cell r="T94" t="str">
            <v>600098</v>
          </cell>
          <cell r="U94" t="str">
            <v xml:space="preserve">_x000D_
</v>
          </cell>
          <cell r="W94" t="str">
            <v>A</v>
          </cell>
        </row>
        <row r="95">
          <cell r="A95">
            <v>13976</v>
          </cell>
          <cell r="B95" t="str">
            <v>LOJA ANJO DA GUARDA - MA</v>
          </cell>
          <cell r="C95">
            <v>5313</v>
          </cell>
          <cell r="D95" t="str">
            <v>LUCIANE DA SILVA FONSECA PINHEIRO</v>
          </cell>
          <cell r="E95">
            <v>3026</v>
          </cell>
          <cell r="F95" t="str">
            <v>MAYARA NOVAIS LOPES</v>
          </cell>
          <cell r="G95">
            <v>44876</v>
          </cell>
          <cell r="H95" t="str">
            <v>AVENIDA MOÇAMBIQUE, 05</v>
          </cell>
          <cell r="I95" t="str">
            <v xml:space="preserve"> ANJO DA GUARDA</v>
          </cell>
          <cell r="J95" t="str">
            <v>65085-000</v>
          </cell>
          <cell r="K95">
            <v>970695</v>
          </cell>
          <cell r="L95" t="str">
            <v>MA</v>
          </cell>
          <cell r="M95" t="str">
            <v>9831961493</v>
          </cell>
          <cell r="N95">
            <v>234</v>
          </cell>
          <cell r="O95" t="str">
            <v>9831961493</v>
          </cell>
          <cell r="P95" t="str">
            <v>meyrilane.barros@factalojas.com.br</v>
          </cell>
          <cell r="Q95" t="str">
            <v>meyrilane.barros@factalojas.com.br</v>
          </cell>
          <cell r="S95" t="str">
            <v>meyrilane.barros@factalojas.com.br</v>
          </cell>
          <cell r="T95" t="str">
            <v>13976</v>
          </cell>
          <cell r="U95" t="str">
            <v/>
          </cell>
          <cell r="W95" t="str">
            <v>A</v>
          </cell>
        </row>
        <row r="96">
          <cell r="A96">
            <v>93826</v>
          </cell>
          <cell r="B96" t="str">
            <v>LOJA ARACAJU - SE</v>
          </cell>
          <cell r="C96">
            <v>12518</v>
          </cell>
          <cell r="D96" t="str">
            <v>LUANA SANTOS FURMANEK</v>
          </cell>
          <cell r="E96">
            <v>5452</v>
          </cell>
          <cell r="F96" t="str">
            <v>CRISTIANE CARVALHO GEBELATTO</v>
          </cell>
          <cell r="G96">
            <v>44862</v>
          </cell>
          <cell r="H96" t="str">
            <v>RUA SÃO CRISTÓVÃO, 402</v>
          </cell>
          <cell r="I96" t="str">
            <v>CENTRO</v>
          </cell>
          <cell r="J96" t="str">
            <v>49010-380</v>
          </cell>
          <cell r="K96">
            <v>3419</v>
          </cell>
          <cell r="L96" t="str">
            <v>SE</v>
          </cell>
          <cell r="M96" t="str">
            <v>7931420814</v>
          </cell>
          <cell r="N96">
            <v>504</v>
          </cell>
          <cell r="O96" t="str">
            <v>7931420814</v>
          </cell>
          <cell r="P96" t="str">
            <v>valquiria.cruz@factalojas.com.br</v>
          </cell>
          <cell r="Q96" t="str">
            <v>loja93826@factalojas.com.br</v>
          </cell>
          <cell r="S96" t="str">
            <v>loja93826@factalojas.com.br</v>
          </cell>
          <cell r="T96" t="str">
            <v>93826</v>
          </cell>
          <cell r="U96" t="str">
            <v/>
          </cell>
          <cell r="W96" t="str">
            <v>A</v>
          </cell>
        </row>
        <row r="97">
          <cell r="A97">
            <v>6000045</v>
          </cell>
          <cell r="B97" t="str">
            <v>LOJA FRANCISCO MORATO - SP</v>
          </cell>
          <cell r="C97">
            <v>8976</v>
          </cell>
          <cell r="D97" t="str">
            <v>ANDREY COSTA DA ROCHA</v>
          </cell>
          <cell r="E97">
            <v>3826</v>
          </cell>
          <cell r="F97" t="str">
            <v>CINARA REGINA KEMERICH</v>
          </cell>
          <cell r="G97">
            <v>44764</v>
          </cell>
          <cell r="H97" t="str">
            <v>RUA JOAO MENDES JUNIOR 63 SALA 05</v>
          </cell>
          <cell r="I97" t="str">
            <v>CENTRO</v>
          </cell>
          <cell r="J97" t="str">
            <v>07910-210</v>
          </cell>
          <cell r="K97">
            <v>6915263</v>
          </cell>
          <cell r="L97" t="str">
            <v>SP</v>
          </cell>
          <cell r="M97" t="str">
            <v>1130907089</v>
          </cell>
          <cell r="N97">
            <v>482</v>
          </cell>
          <cell r="O97" t="str">
            <v>1130907089</v>
          </cell>
          <cell r="P97" t="str">
            <v>jucilene.andrade@facta.com.br;nicole.mendes@factalojas.com.br</v>
          </cell>
          <cell r="Q97" t="str">
            <v>cinara.kemerich@facta.com.br</v>
          </cell>
          <cell r="S97" t="str">
            <v>jucilene.andrade@facta.com.br</v>
          </cell>
          <cell r="T97" t="str">
            <v>6000045</v>
          </cell>
          <cell r="U97" t="str">
            <v/>
          </cell>
          <cell r="W97" t="str">
            <v>A</v>
          </cell>
        </row>
        <row r="98">
          <cell r="A98">
            <v>6000043</v>
          </cell>
          <cell r="B98" t="str">
            <v>LOJA ARTHUR ALVIM - SP</v>
          </cell>
          <cell r="G98">
            <v>44678</v>
          </cell>
          <cell r="H98" t="str">
            <v>RUA DOUTOR CAMPOS MOURA , 99 SALA 1</v>
          </cell>
          <cell r="I98" t="str">
            <v xml:space="preserve">ARTHUR ALVIM </v>
          </cell>
          <cell r="J98" t="str">
            <v>03568-010</v>
          </cell>
          <cell r="K98">
            <v>442</v>
          </cell>
          <cell r="L98" t="str">
            <v>SP</v>
          </cell>
          <cell r="M98" t="str">
            <v>1110200470</v>
          </cell>
          <cell r="N98">
            <v>488</v>
          </cell>
          <cell r="O98" t="str">
            <v>1110200470</v>
          </cell>
          <cell r="P98" t="str">
            <v>vanessa.araujo@factalojas.com.br</v>
          </cell>
          <cell r="Q98" t="str">
            <v>miriam.barbieri@facta.com.br</v>
          </cell>
          <cell r="S98" t="str">
            <v>loja6000043@factalojas.com.br</v>
          </cell>
          <cell r="T98" t="str">
            <v>6000043</v>
          </cell>
          <cell r="U98" t="str">
            <v>Loja encerrada.</v>
          </cell>
          <cell r="W98" t="str">
            <v>I</v>
          </cell>
        </row>
        <row r="99">
          <cell r="A99">
            <v>601062</v>
          </cell>
          <cell r="B99" t="str">
            <v>ESTAÇÃO SÃO LEOPOLDO</v>
          </cell>
          <cell r="G99">
            <v>44659</v>
          </cell>
          <cell r="H99" t="str">
            <v xml:space="preserve"> AV. JOÃO CORRÊA, 657</v>
          </cell>
          <cell r="I99" t="str">
            <v>SÃO JOSÉ</v>
          </cell>
          <cell r="J99" t="str">
            <v>93020-690</v>
          </cell>
          <cell r="K99">
            <v>31</v>
          </cell>
          <cell r="L99" t="str">
            <v>RS</v>
          </cell>
          <cell r="M99" t="str">
            <v>000000000000</v>
          </cell>
          <cell r="N99">
            <v>0</v>
          </cell>
          <cell r="O99" t="str">
            <v>000000000000</v>
          </cell>
          <cell r="P99" t="str">
            <v>----------------</v>
          </cell>
          <cell r="Q99" t="str">
            <v>----------------</v>
          </cell>
          <cell r="S99" t="str">
            <v>----------------</v>
          </cell>
          <cell r="T99" t="str">
            <v>601062</v>
          </cell>
          <cell r="U99" t="str">
            <v>28/05/24 - Inativado com de acordo do Cleber</v>
          </cell>
          <cell r="W99" t="str">
            <v>I</v>
          </cell>
        </row>
        <row r="100">
          <cell r="A100">
            <v>601063</v>
          </cell>
          <cell r="B100" t="str">
            <v>ESTAÇÃO NOVO HAMBURGO</v>
          </cell>
          <cell r="G100">
            <v>44659</v>
          </cell>
          <cell r="H100" t="str">
            <v xml:space="preserve"> AV. NAÇÕES UNIDAS</v>
          </cell>
          <cell r="I100" t="str">
            <v>RIO BRANCO</v>
          </cell>
          <cell r="K100">
            <v>21</v>
          </cell>
          <cell r="L100" t="str">
            <v>RS</v>
          </cell>
          <cell r="M100" t="str">
            <v>000000000000</v>
          </cell>
          <cell r="N100">
            <v>0</v>
          </cell>
          <cell r="O100" t="str">
            <v>000000000000</v>
          </cell>
          <cell r="P100" t="str">
            <v>-----------</v>
          </cell>
          <cell r="Q100" t="str">
            <v>-----------</v>
          </cell>
          <cell r="S100" t="str">
            <v>-----------</v>
          </cell>
          <cell r="T100" t="str">
            <v>601063</v>
          </cell>
          <cell r="W100" t="str">
            <v>I</v>
          </cell>
        </row>
        <row r="101">
          <cell r="A101">
            <v>601064</v>
          </cell>
          <cell r="B101" t="str">
            <v>ESTAÇÃO RODOVIÁRIA</v>
          </cell>
          <cell r="G101">
            <v>44659</v>
          </cell>
          <cell r="H101" t="str">
            <v>LARGO VESPASIANO JÚLIO VEPPO, 70</v>
          </cell>
          <cell r="I101" t="str">
            <v>CENTRO HISTÓRICO</v>
          </cell>
          <cell r="J101" t="str">
            <v>90035-040</v>
          </cell>
          <cell r="K101">
            <v>35</v>
          </cell>
          <cell r="L101" t="str">
            <v>RS</v>
          </cell>
          <cell r="M101" t="str">
            <v>000000000000</v>
          </cell>
          <cell r="N101">
            <v>0</v>
          </cell>
          <cell r="O101" t="str">
            <v>000000000000</v>
          </cell>
          <cell r="P101" t="str">
            <v>-----------</v>
          </cell>
          <cell r="Q101" t="str">
            <v>-----------</v>
          </cell>
          <cell r="S101" t="str">
            <v>-----------</v>
          </cell>
          <cell r="T101" t="str">
            <v>601064</v>
          </cell>
          <cell r="U101" t="str">
            <v>28/05/24 - Inativado com de acordo do Cleber</v>
          </cell>
          <cell r="W101" t="str">
            <v>I</v>
          </cell>
        </row>
        <row r="102">
          <cell r="A102">
            <v>6000042</v>
          </cell>
          <cell r="B102" t="str">
            <v>LOJA BARAO GERALDO - SP</v>
          </cell>
          <cell r="G102">
            <v>44652</v>
          </cell>
          <cell r="H102" t="str">
            <v>RUA HORÁCIO LEONARDI, 92, LOJA 01</v>
          </cell>
          <cell r="I102" t="str">
            <v>BARAO GERALDO</v>
          </cell>
          <cell r="J102" t="str">
            <v>13084-105</v>
          </cell>
          <cell r="K102">
            <v>1257</v>
          </cell>
          <cell r="L102" t="str">
            <v>SP</v>
          </cell>
          <cell r="M102" t="str">
            <v>000000000000</v>
          </cell>
          <cell r="N102">
            <v>0</v>
          </cell>
          <cell r="O102" t="str">
            <v>000000000000</v>
          </cell>
          <cell r="P102" t="str">
            <v>-------------</v>
          </cell>
          <cell r="Q102" t="str">
            <v>-------------</v>
          </cell>
          <cell r="S102" t="str">
            <v>-------------</v>
          </cell>
          <cell r="T102" t="str">
            <v>6000042</v>
          </cell>
          <cell r="U102" t="str">
            <v>08/04/22 - Inativado de acordo Cleber.</v>
          </cell>
          <cell r="W102" t="str">
            <v>I</v>
          </cell>
        </row>
        <row r="103">
          <cell r="A103">
            <v>180007</v>
          </cell>
          <cell r="B103" t="str">
            <v>LOJA ANANINDEUA - PA</v>
          </cell>
          <cell r="C103">
            <v>7503</v>
          </cell>
          <cell r="D103" t="str">
            <v>NAYRA BASTOS DA SILVA</v>
          </cell>
          <cell r="E103">
            <v>3026</v>
          </cell>
          <cell r="F103" t="str">
            <v>MAYARA NOVAIS LOPES</v>
          </cell>
          <cell r="G103">
            <v>44623</v>
          </cell>
          <cell r="H103" t="str">
            <v>CONJUNTO CIDADE NOVA VII WE-64, 712, A</v>
          </cell>
          <cell r="I103" t="str">
            <v>COQUEIRO</v>
          </cell>
          <cell r="J103" t="str">
            <v>67140-652</v>
          </cell>
          <cell r="K103">
            <v>30138</v>
          </cell>
          <cell r="L103" t="str">
            <v>PA</v>
          </cell>
          <cell r="N103">
            <v>481</v>
          </cell>
          <cell r="P103" t="str">
            <v>loja180007@factalojas.com.br</v>
          </cell>
          <cell r="Q103" t="str">
            <v>kelly.matos@factalojas.com.br</v>
          </cell>
          <cell r="S103" t="str">
            <v>kelly.matos@factalojas.com.br</v>
          </cell>
          <cell r="T103" t="str">
            <v>180007</v>
          </cell>
          <cell r="U103" t="str">
            <v xml:space="preserve">_x000D_
</v>
          </cell>
          <cell r="W103" t="str">
            <v>A</v>
          </cell>
        </row>
        <row r="104">
          <cell r="A104">
            <v>6000040</v>
          </cell>
          <cell r="B104" t="str">
            <v>LOJA SAO MIGUEL - SP</v>
          </cell>
          <cell r="C104">
            <v>6253</v>
          </cell>
          <cell r="D104" t="str">
            <v>MIRIAM DE SALLES BARBIERI</v>
          </cell>
          <cell r="E104">
            <v>3826</v>
          </cell>
          <cell r="F104" t="str">
            <v>CINARA REGINA KEMERICH</v>
          </cell>
          <cell r="G104">
            <v>44623</v>
          </cell>
          <cell r="H104" t="str">
            <v>AV. MARECHAL TITO, 1000</v>
          </cell>
          <cell r="I104" t="str">
            <v>SAO MIGUEL PAULISTA</v>
          </cell>
          <cell r="J104" t="str">
            <v>08010-090</v>
          </cell>
          <cell r="K104">
            <v>442</v>
          </cell>
          <cell r="L104" t="str">
            <v>SP</v>
          </cell>
          <cell r="M104" t="str">
            <v>1151975788</v>
          </cell>
          <cell r="N104">
            <v>478</v>
          </cell>
          <cell r="O104" t="str">
            <v>1151975788</v>
          </cell>
          <cell r="P104" t="str">
            <v>sidney.santos@factalojas.com.br</v>
          </cell>
          <cell r="Q104" t="str">
            <v>miriam.barbieri@facta.com.br</v>
          </cell>
          <cell r="S104" t="str">
            <v>loja6000040@factalojas.com.br</v>
          </cell>
          <cell r="T104" t="str">
            <v>6000040</v>
          </cell>
          <cell r="U104" t="str">
            <v xml:space="preserve">_x000D_
</v>
          </cell>
          <cell r="W104" t="str">
            <v>A</v>
          </cell>
        </row>
        <row r="105">
          <cell r="A105">
            <v>6000038</v>
          </cell>
          <cell r="B105" t="str">
            <v>LOJA ATIBAIA - SP</v>
          </cell>
          <cell r="C105">
            <v>8976</v>
          </cell>
          <cell r="D105" t="str">
            <v>ANDREY COSTA DA ROCHA</v>
          </cell>
          <cell r="E105">
            <v>3826</v>
          </cell>
          <cell r="F105" t="str">
            <v>CINARA REGINA KEMERICH</v>
          </cell>
          <cell r="G105">
            <v>44609</v>
          </cell>
          <cell r="H105" t="str">
            <v>RUA THOME FRANCO, 258</v>
          </cell>
          <cell r="I105" t="str">
            <v>CENTRO</v>
          </cell>
          <cell r="J105" t="str">
            <v>12940-680</v>
          </cell>
          <cell r="K105">
            <v>25411</v>
          </cell>
          <cell r="L105" t="str">
            <v>SP</v>
          </cell>
          <cell r="M105" t="str">
            <v>1142601665</v>
          </cell>
          <cell r="N105">
            <v>480</v>
          </cell>
          <cell r="O105" t="str">
            <v>1142601665</v>
          </cell>
          <cell r="P105" t="str">
            <v>beatriz.almeida@factalojas.com.br</v>
          </cell>
          <cell r="Q105" t="str">
            <v>jucilene.andrade@facta.com.br</v>
          </cell>
          <cell r="S105" t="str">
            <v>loja6000038@factalojas.com.br</v>
          </cell>
          <cell r="T105" t="str">
            <v>6000038</v>
          </cell>
          <cell r="U105" t="str">
            <v xml:space="preserve">_x000D_
</v>
          </cell>
          <cell r="W105" t="str">
            <v>A</v>
          </cell>
        </row>
        <row r="106">
          <cell r="A106">
            <v>6000036</v>
          </cell>
          <cell r="B106" t="str">
            <v>LOJA SAO MATEUS - SP</v>
          </cell>
          <cell r="C106">
            <v>6253</v>
          </cell>
          <cell r="D106" t="str">
            <v>MIRIAM DE SALLES BARBIERI</v>
          </cell>
          <cell r="E106">
            <v>3826</v>
          </cell>
          <cell r="F106" t="str">
            <v>CINARA REGINA KEMERICH</v>
          </cell>
          <cell r="G106">
            <v>44607</v>
          </cell>
          <cell r="H106" t="str">
            <v>AVENIDA MATEO BEI, 2541</v>
          </cell>
          <cell r="I106" t="str">
            <v>SÃO MATEUS</v>
          </cell>
          <cell r="J106" t="str">
            <v>03949-012</v>
          </cell>
          <cell r="K106">
            <v>442</v>
          </cell>
          <cell r="L106" t="str">
            <v>SP</v>
          </cell>
          <cell r="M106" t="str">
            <v>1141825989</v>
          </cell>
          <cell r="N106">
            <v>479</v>
          </cell>
          <cell r="O106" t="str">
            <v>1141825989</v>
          </cell>
          <cell r="P106" t="str">
            <v>miriam.barbieri@facta.com.br</v>
          </cell>
          <cell r="Q106" t="str">
            <v>miriam.barbieri@facta.com.br</v>
          </cell>
          <cell r="S106" t="str">
            <v>loja6000036@factalojas.com.br</v>
          </cell>
          <cell r="T106" t="str">
            <v>6000036</v>
          </cell>
          <cell r="U106" t="str">
            <v/>
          </cell>
          <cell r="W106" t="str">
            <v>A</v>
          </cell>
        </row>
        <row r="107">
          <cell r="A107">
            <v>6000033</v>
          </cell>
          <cell r="B107" t="str">
            <v>LOJA SAO ROQUE - SP</v>
          </cell>
          <cell r="C107">
            <v>8976</v>
          </cell>
          <cell r="D107" t="str">
            <v>ANDREY COSTA DA ROCHA</v>
          </cell>
          <cell r="E107">
            <v>3826</v>
          </cell>
          <cell r="F107" t="str">
            <v>CINARA REGINA KEMERICH</v>
          </cell>
          <cell r="G107">
            <v>44603</v>
          </cell>
          <cell r="H107" t="str">
            <v>RUA PADRE MARÇAL, 55</v>
          </cell>
          <cell r="I107" t="str">
            <v>CENTRO</v>
          </cell>
          <cell r="J107" t="str">
            <v>18130-100</v>
          </cell>
          <cell r="K107">
            <v>25963</v>
          </cell>
          <cell r="L107" t="str">
            <v>SP</v>
          </cell>
          <cell r="M107" t="str">
            <v>1141307893</v>
          </cell>
          <cell r="N107">
            <v>474</v>
          </cell>
          <cell r="O107" t="str">
            <v>1141307893</v>
          </cell>
          <cell r="P107" t="str">
            <v>ana.vaz@facta.com.br</v>
          </cell>
          <cell r="Q107" t="str">
            <v>liandra.marques@facta.com.br</v>
          </cell>
          <cell r="S107" t="str">
            <v>jucilene.andrade@facta.com.br</v>
          </cell>
          <cell r="T107" t="str">
            <v>6000033</v>
          </cell>
          <cell r="W107" t="str">
            <v>A</v>
          </cell>
        </row>
        <row r="108">
          <cell r="A108">
            <v>6000034</v>
          </cell>
          <cell r="B108" t="str">
            <v>LOJA VALINHOS - SP</v>
          </cell>
          <cell r="C108">
            <v>10518</v>
          </cell>
          <cell r="D108" t="str">
            <v>THAINA MARCHI CONEJO</v>
          </cell>
          <cell r="E108">
            <v>3826</v>
          </cell>
          <cell r="F108" t="str">
            <v>CINARA REGINA KEMERICH</v>
          </cell>
          <cell r="G108">
            <v>44603</v>
          </cell>
          <cell r="H108" t="str">
            <v>RUA TREZE DE MAIO, 155, SALA 02</v>
          </cell>
          <cell r="I108" t="str">
            <v>CENTRO</v>
          </cell>
          <cell r="J108" t="str">
            <v>13270-020</v>
          </cell>
          <cell r="K108">
            <v>25435</v>
          </cell>
          <cell r="L108" t="str">
            <v>SP</v>
          </cell>
          <cell r="M108" t="str">
            <v>1931146084</v>
          </cell>
          <cell r="N108">
            <v>476</v>
          </cell>
          <cell r="O108" t="str">
            <v>1931146084</v>
          </cell>
          <cell r="P108" t="str">
            <v>aline.machado@factalojas.com.br</v>
          </cell>
          <cell r="Q108" t="str">
            <v>loja6000034@factalojas.com.br;aline.machado@factalojas.com.br</v>
          </cell>
          <cell r="S108" t="str">
            <v>loja6000034@factalojas.com.br</v>
          </cell>
          <cell r="T108" t="str">
            <v>6000034</v>
          </cell>
          <cell r="U108" t="str">
            <v>25652647809_x000D_
28286858_x000D_
08/09/1975</v>
          </cell>
          <cell r="W108" t="str">
            <v>A</v>
          </cell>
        </row>
        <row r="109">
          <cell r="A109">
            <v>6000031</v>
          </cell>
          <cell r="B109" t="str">
            <v>LOJA ANGRA DOS REIS - RJ</v>
          </cell>
          <cell r="C109">
            <v>15127</v>
          </cell>
          <cell r="D109" t="str">
            <v>LOSANGELA HONORIO DE OLIVEIRA</v>
          </cell>
          <cell r="E109">
            <v>6621</v>
          </cell>
          <cell r="F109" t="str">
            <v>THAYSA SANDIM DE SOUZA</v>
          </cell>
          <cell r="G109">
            <v>44602</v>
          </cell>
          <cell r="H109" t="str">
            <v>RUA DA CONCEIÇÃO 16</v>
          </cell>
          <cell r="I109" t="str">
            <v>CENTRO</v>
          </cell>
          <cell r="J109" t="str">
            <v>23900-437</v>
          </cell>
          <cell r="K109">
            <v>26160</v>
          </cell>
          <cell r="L109" t="str">
            <v>RJ</v>
          </cell>
          <cell r="M109" t="str">
            <v>2435120092</v>
          </cell>
          <cell r="N109">
            <v>880</v>
          </cell>
          <cell r="O109" t="str">
            <v>2435120092</v>
          </cell>
          <cell r="P109" t="str">
            <v>lauane.freitas@factalojas.com.br</v>
          </cell>
          <cell r="Q109" t="str">
            <v>loja6000024@factalojas.com.br</v>
          </cell>
          <cell r="S109" t="str">
            <v>loja6000024@factalojas.com.br</v>
          </cell>
          <cell r="T109" t="str">
            <v>6000031</v>
          </cell>
          <cell r="W109" t="str">
            <v>A</v>
          </cell>
        </row>
        <row r="110">
          <cell r="A110">
            <v>81075</v>
          </cell>
          <cell r="B110" t="str">
            <v>LOJA CRUZ DAS ARMAS - PB</v>
          </cell>
          <cell r="C110">
            <v>9798</v>
          </cell>
          <cell r="D110" t="str">
            <v>WHANDERSON MATHEUS ARAUJO DA COSTA</v>
          </cell>
          <cell r="E110">
            <v>5452</v>
          </cell>
          <cell r="F110" t="str">
            <v>CRISTIANE CARVALHO GEBELATTO</v>
          </cell>
          <cell r="G110">
            <v>44600</v>
          </cell>
          <cell r="H110" t="str">
            <v>AV. CRUZ DAS ARMAS, 771, SALA B</v>
          </cell>
          <cell r="I110" t="str">
            <v>CRUZ DAS ARMAS</v>
          </cell>
          <cell r="J110" t="str">
            <v>58085-000</v>
          </cell>
          <cell r="K110">
            <v>970676</v>
          </cell>
          <cell r="L110" t="str">
            <v>PB</v>
          </cell>
          <cell r="M110" t="str">
            <v>8331136320</v>
          </cell>
          <cell r="N110">
            <v>465</v>
          </cell>
          <cell r="O110" t="str">
            <v>8331136320</v>
          </cell>
          <cell r="P110" t="str">
            <v>loja81075@factalojas.com.br</v>
          </cell>
          <cell r="Q110" t="str">
            <v>loja81075@factalojas.com.br</v>
          </cell>
          <cell r="S110" t="str">
            <v>loja81075@factalojas.com.br</v>
          </cell>
          <cell r="T110" t="str">
            <v>81075</v>
          </cell>
          <cell r="U110" t="str">
            <v/>
          </cell>
          <cell r="W110" t="str">
            <v>A</v>
          </cell>
        </row>
        <row r="111">
          <cell r="A111">
            <v>600075</v>
          </cell>
          <cell r="B111" t="str">
            <v>LOJA MAUA - SP</v>
          </cell>
          <cell r="C111">
            <v>95</v>
          </cell>
          <cell r="D111" t="str">
            <v>SILVANA DE FATIMA CENCI</v>
          </cell>
          <cell r="E111">
            <v>3826</v>
          </cell>
          <cell r="F111" t="str">
            <v>CINARA REGINA KEMERICH</v>
          </cell>
          <cell r="G111">
            <v>44600</v>
          </cell>
          <cell r="H111" t="str">
            <v>RUA RUI BARBOSA, 35</v>
          </cell>
          <cell r="I111" t="str">
            <v>CENTRO</v>
          </cell>
          <cell r="J111" t="str">
            <v>09390-000</v>
          </cell>
          <cell r="K111">
            <v>1272</v>
          </cell>
          <cell r="L111" t="str">
            <v>SP</v>
          </cell>
          <cell r="M111" t="str">
            <v>1199887328</v>
          </cell>
          <cell r="N111">
            <v>466</v>
          </cell>
          <cell r="O111" t="str">
            <v>1199887328</v>
          </cell>
          <cell r="P111" t="str">
            <v>cindy.delgado@factalojas.com.br</v>
          </cell>
          <cell r="Q111" t="str">
            <v>cindy.delgado@factalojas.com.br</v>
          </cell>
          <cell r="S111" t="str">
            <v>loja600075@factalojas.com.br</v>
          </cell>
          <cell r="T111" t="str">
            <v>600075</v>
          </cell>
          <cell r="U111" t="str">
            <v xml:space="preserve">_x000D_
</v>
          </cell>
          <cell r="W111" t="str">
            <v>A</v>
          </cell>
        </row>
        <row r="112">
          <cell r="A112">
            <v>600076</v>
          </cell>
          <cell r="B112" t="str">
            <v>LOJA DIADEMA - SP</v>
          </cell>
          <cell r="C112">
            <v>95</v>
          </cell>
          <cell r="D112" t="str">
            <v>SILVANA DE FATIMA CENCI</v>
          </cell>
          <cell r="E112">
            <v>3826</v>
          </cell>
          <cell r="F112" t="str">
            <v>CINARA REGINA KEMERICH</v>
          </cell>
          <cell r="G112">
            <v>44600</v>
          </cell>
          <cell r="H112" t="str">
            <v>RUA NOSSA SENHORA DAS VITORIAS, 79</v>
          </cell>
          <cell r="I112" t="str">
            <v>CENTRO</v>
          </cell>
          <cell r="J112" t="str">
            <v>11045-530</v>
          </cell>
          <cell r="K112">
            <v>1123</v>
          </cell>
          <cell r="L112" t="str">
            <v>SP</v>
          </cell>
          <cell r="M112" t="str">
            <v>1135063974</v>
          </cell>
          <cell r="N112">
            <v>468</v>
          </cell>
          <cell r="O112" t="str">
            <v>1135063974</v>
          </cell>
          <cell r="P112" t="str">
            <v>suzana.rodrigues@factalojas.com.br</v>
          </cell>
          <cell r="Q112" t="str">
            <v>loja600076@factalojas.com.br</v>
          </cell>
          <cell r="S112" t="str">
            <v>loja600076@factalojas.com.br;silvana@facta.com.br</v>
          </cell>
          <cell r="T112" t="str">
            <v>600076</v>
          </cell>
          <cell r="U112" t="str">
            <v/>
          </cell>
          <cell r="W112" t="str">
            <v>A</v>
          </cell>
        </row>
        <row r="113">
          <cell r="A113">
            <v>600077</v>
          </cell>
          <cell r="B113" t="str">
            <v>LOJA SANTO ANDRE - SP</v>
          </cell>
          <cell r="C113">
            <v>95</v>
          </cell>
          <cell r="D113" t="str">
            <v>SILVANA DE FATIMA CENCI</v>
          </cell>
          <cell r="E113">
            <v>3826</v>
          </cell>
          <cell r="F113" t="str">
            <v>CINARA REGINA KEMERICH</v>
          </cell>
          <cell r="G113">
            <v>44600</v>
          </cell>
          <cell r="H113" t="str">
            <v>RUA CORONEL FRANCISCO AMARO, 267, SL 2 EDIF. FRANC</v>
          </cell>
          <cell r="I113" t="str">
            <v>CENTRO</v>
          </cell>
          <cell r="J113" t="str">
            <v>09020-250</v>
          </cell>
          <cell r="K113">
            <v>25314</v>
          </cell>
          <cell r="L113" t="str">
            <v>SP</v>
          </cell>
          <cell r="M113" t="str">
            <v>1198793812</v>
          </cell>
          <cell r="N113">
            <v>893</v>
          </cell>
          <cell r="O113" t="str">
            <v>1198793812</v>
          </cell>
          <cell r="P113" t="str">
            <v>joao.santos@factalojas.com.br</v>
          </cell>
          <cell r="Q113" t="str">
            <v>joao.santos@factalojas.com.br</v>
          </cell>
          <cell r="S113" t="str">
            <v>loja600077@factalojas.com.br</v>
          </cell>
          <cell r="T113" t="str">
            <v>600077</v>
          </cell>
          <cell r="U113" t="str">
            <v/>
          </cell>
          <cell r="W113" t="str">
            <v>A</v>
          </cell>
        </row>
        <row r="114">
          <cell r="A114">
            <v>600078</v>
          </cell>
          <cell r="B114" t="str">
            <v>LOJA SAO CAETANO - SP</v>
          </cell>
          <cell r="C114">
            <v>95</v>
          </cell>
          <cell r="D114" t="str">
            <v>SILVANA DE FATIMA CENCI</v>
          </cell>
          <cell r="E114">
            <v>3826</v>
          </cell>
          <cell r="F114" t="str">
            <v>CINARA REGINA KEMERICH</v>
          </cell>
          <cell r="G114">
            <v>44600</v>
          </cell>
          <cell r="H114" t="str">
            <v>RUA MANOEL COELHO, 325, LOJA 20</v>
          </cell>
          <cell r="I114" t="str">
            <v>CENTRO</v>
          </cell>
          <cell r="J114" t="str">
            <v>09510-110</v>
          </cell>
          <cell r="K114">
            <v>7332293</v>
          </cell>
          <cell r="L114" t="str">
            <v>SP</v>
          </cell>
          <cell r="N114">
            <v>467</v>
          </cell>
          <cell r="P114" t="str">
            <v>diane.santana@factalojas.com.br</v>
          </cell>
          <cell r="Q114" t="str">
            <v>loja600078@factalojas.com.br;vanessa.marques@factalojas.com.br</v>
          </cell>
          <cell r="S114" t="str">
            <v>loja600078@factalojas.com.br;vanessa.marques@factalojas.com.br</v>
          </cell>
          <cell r="T114" t="str">
            <v>600078</v>
          </cell>
          <cell r="U114" t="str">
            <v/>
          </cell>
          <cell r="W114" t="str">
            <v>A</v>
          </cell>
        </row>
        <row r="115">
          <cell r="A115">
            <v>600079</v>
          </cell>
          <cell r="B115" t="str">
            <v>LOJA FRANCO DA ROCHA - SP</v>
          </cell>
          <cell r="C115">
            <v>8976</v>
          </cell>
          <cell r="D115" t="str">
            <v>ANDREY COSTA DA ROCHA</v>
          </cell>
          <cell r="E115">
            <v>3826</v>
          </cell>
          <cell r="F115" t="str">
            <v>CINARA REGINA KEMERICH</v>
          </cell>
          <cell r="G115">
            <v>44600</v>
          </cell>
          <cell r="H115" t="str">
            <v>RUA AZEVEDO SOARES, 184, SALA 4</v>
          </cell>
          <cell r="I115" t="str">
            <v>CENTRO</v>
          </cell>
          <cell r="J115" t="str">
            <v>07851-010</v>
          </cell>
          <cell r="K115">
            <v>25295</v>
          </cell>
          <cell r="L115" t="str">
            <v>SP</v>
          </cell>
          <cell r="M115" t="str">
            <v>1195423234</v>
          </cell>
          <cell r="N115">
            <v>471</v>
          </cell>
          <cell r="O115" t="str">
            <v>1195423234</v>
          </cell>
          <cell r="P115" t="str">
            <v>luana.nogueira@factalojas.com.br</v>
          </cell>
          <cell r="Q115" t="str">
            <v>loja600079@factalojas.com.br;tatiani.santos@factalojas.com.br</v>
          </cell>
          <cell r="S115" t="str">
            <v>loja600079@factalojas.com.br</v>
          </cell>
          <cell r="T115" t="str">
            <v>600079</v>
          </cell>
          <cell r="U115" t="str">
            <v/>
          </cell>
          <cell r="W115" t="str">
            <v>A</v>
          </cell>
        </row>
        <row r="116">
          <cell r="A116">
            <v>600080</v>
          </cell>
          <cell r="B116" t="str">
            <v>LOJA MOGI DAS CRUZES - SP</v>
          </cell>
          <cell r="C116">
            <v>95</v>
          </cell>
          <cell r="D116" t="str">
            <v>SILVANA DE FATIMA CENCI</v>
          </cell>
          <cell r="E116">
            <v>3826</v>
          </cell>
          <cell r="F116" t="str">
            <v>CINARA REGINA KEMERICH</v>
          </cell>
          <cell r="G116">
            <v>44600</v>
          </cell>
          <cell r="H116" t="str">
            <v>RUA JOSÉ BONIFACIO, 178</v>
          </cell>
          <cell r="I116" t="str">
            <v>CENTRO</v>
          </cell>
          <cell r="J116" t="str">
            <v>08710-070</v>
          </cell>
          <cell r="K116">
            <v>25307</v>
          </cell>
          <cell r="L116" t="str">
            <v>SP</v>
          </cell>
          <cell r="N116">
            <v>886</v>
          </cell>
          <cell r="P116" t="str">
            <v>silvana@facta.com.br</v>
          </cell>
          <cell r="Q116" t="str">
            <v>loja600080@factalojas.com.br</v>
          </cell>
          <cell r="S116" t="str">
            <v>loja600080@factalojas.com.br</v>
          </cell>
          <cell r="T116" t="str">
            <v>600080</v>
          </cell>
          <cell r="U116" t="str">
            <v>selma.bittante@factalojas.com.br</v>
          </cell>
          <cell r="W116" t="str">
            <v>A</v>
          </cell>
        </row>
        <row r="117">
          <cell r="A117">
            <v>600081</v>
          </cell>
          <cell r="B117" t="str">
            <v>LOJA SAO PAULO - TATUAPE - SP</v>
          </cell>
          <cell r="C117">
            <v>6253</v>
          </cell>
          <cell r="D117" t="str">
            <v>MIRIAM DE SALLES BARBIERI</v>
          </cell>
          <cell r="E117">
            <v>3826</v>
          </cell>
          <cell r="F117" t="str">
            <v>CINARA REGINA KEMERICH</v>
          </cell>
          <cell r="G117">
            <v>44600</v>
          </cell>
          <cell r="H117" t="str">
            <v>RUA TUIUTI, 2179</v>
          </cell>
          <cell r="I117" t="str">
            <v>VILA GOMES CARDIM (TATUAPE)</v>
          </cell>
          <cell r="J117" t="str">
            <v>03307-005</v>
          </cell>
          <cell r="K117">
            <v>442</v>
          </cell>
          <cell r="L117" t="str">
            <v>SP</v>
          </cell>
          <cell r="M117" t="str">
            <v>1135044302</v>
          </cell>
          <cell r="N117">
            <v>473</v>
          </cell>
          <cell r="O117" t="str">
            <v>1135044302</v>
          </cell>
          <cell r="P117" t="str">
            <v>miriam.barbieri@facta.com.br</v>
          </cell>
          <cell r="Q117" t="str">
            <v>loja600081@factalojas.com.br;sidney.junior@factalojas.com.br</v>
          </cell>
          <cell r="S117" t="str">
            <v>loja600081@factalojas.com.br;sidney.junior@factalojas.com.br</v>
          </cell>
          <cell r="T117" t="str">
            <v>600081</v>
          </cell>
          <cell r="U117" t="str">
            <v/>
          </cell>
          <cell r="W117" t="str">
            <v>A</v>
          </cell>
        </row>
        <row r="118">
          <cell r="A118">
            <v>601057</v>
          </cell>
          <cell r="B118" t="str">
            <v>LOJA PORTO ALEGRE - PROTASIO ALVES - RS</v>
          </cell>
          <cell r="C118">
            <v>10656</v>
          </cell>
          <cell r="D118" t="str">
            <v>VIVIANE FAGUNDES DE MELLO</v>
          </cell>
          <cell r="E118">
            <v>763</v>
          </cell>
          <cell r="F118" t="str">
            <v>ADRIELE DA SILVA SOUZA</v>
          </cell>
          <cell r="G118">
            <v>44600</v>
          </cell>
          <cell r="H118" t="str">
            <v>AV. PROTASIO ALVES, 2492</v>
          </cell>
          <cell r="I118" t="str">
            <v>PETROPOLIS</v>
          </cell>
          <cell r="J118" t="str">
            <v>90410-006</v>
          </cell>
          <cell r="K118">
            <v>35</v>
          </cell>
          <cell r="L118" t="str">
            <v>RS</v>
          </cell>
          <cell r="M118" t="str">
            <v>5123134140</v>
          </cell>
          <cell r="N118">
            <v>472</v>
          </cell>
          <cell r="O118" t="str">
            <v>5123134140</v>
          </cell>
          <cell r="P118" t="str">
            <v>filipe.marinho@factalojas.com.br</v>
          </cell>
          <cell r="Q118" t="str">
            <v>loja601057@factalojas.com.br</v>
          </cell>
          <cell r="S118" t="str">
            <v>loja601057@factalojas.com.br</v>
          </cell>
          <cell r="T118" t="str">
            <v>601057</v>
          </cell>
          <cell r="U118" t="str">
            <v/>
          </cell>
          <cell r="W118" t="str">
            <v>A</v>
          </cell>
        </row>
        <row r="119">
          <cell r="A119">
            <v>6000025</v>
          </cell>
          <cell r="B119" t="str">
            <v>ESTAÇÃO CENTRAL DO BRASIL</v>
          </cell>
          <cell r="G119">
            <v>44557</v>
          </cell>
          <cell r="H119" t="str">
            <v xml:space="preserve">PRAÇA CRISTIANO OTTONI, S/N </v>
          </cell>
          <cell r="I119" t="str">
            <v>CENTRO</v>
          </cell>
          <cell r="J119" t="str">
            <v>20080-102</v>
          </cell>
          <cell r="K119">
            <v>405</v>
          </cell>
          <cell r="L119" t="str">
            <v>RJ</v>
          </cell>
          <cell r="M119" t="str">
            <v>000000000000</v>
          </cell>
          <cell r="N119">
            <v>0</v>
          </cell>
          <cell r="O119" t="str">
            <v>000000000000</v>
          </cell>
          <cell r="P119" t="str">
            <v>-------------</v>
          </cell>
          <cell r="Q119" t="str">
            <v>-------------</v>
          </cell>
          <cell r="S119" t="str">
            <v>-------------</v>
          </cell>
          <cell r="T119" t="str">
            <v>6000025</v>
          </cell>
          <cell r="U119" t="str">
            <v>28/05/24 - Inativado com de acordo do Cleber</v>
          </cell>
          <cell r="W119" t="str">
            <v>I</v>
          </cell>
        </row>
        <row r="120">
          <cell r="A120">
            <v>6000026</v>
          </cell>
          <cell r="B120" t="str">
            <v>ESTAÇÃO CINELÂNDIA</v>
          </cell>
          <cell r="G120">
            <v>44557</v>
          </cell>
          <cell r="H120" t="str">
            <v xml:space="preserve">PRAÇA FLORIANO </v>
          </cell>
          <cell r="I120" t="str">
            <v>CENTRO</v>
          </cell>
          <cell r="J120" t="str">
            <v>20031-050</v>
          </cell>
          <cell r="K120">
            <v>405</v>
          </cell>
          <cell r="L120" t="str">
            <v>RJ</v>
          </cell>
          <cell r="M120" t="str">
            <v>000000000000</v>
          </cell>
          <cell r="N120">
            <v>0</v>
          </cell>
          <cell r="O120" t="str">
            <v>000000000000</v>
          </cell>
          <cell r="P120" t="str">
            <v>--------------</v>
          </cell>
          <cell r="Q120" t="str">
            <v>--------------</v>
          </cell>
          <cell r="S120" t="str">
            <v>--------------</v>
          </cell>
          <cell r="U120" t="str">
            <v>28/05/24 - Inativado com de acordo do Cleber</v>
          </cell>
          <cell r="W120" t="str">
            <v>I</v>
          </cell>
        </row>
        <row r="121">
          <cell r="A121">
            <v>400013</v>
          </cell>
          <cell r="B121" t="str">
            <v>LOJA CATAGUASES - MG</v>
          </cell>
          <cell r="C121">
            <v>12993</v>
          </cell>
          <cell r="D121" t="str">
            <v>JESSICA FERREIRA FIGUEIREDO</v>
          </cell>
          <cell r="E121">
            <v>3026</v>
          </cell>
          <cell r="F121" t="str">
            <v>MAYARA NOVAIS LOPES</v>
          </cell>
          <cell r="G121">
            <v>44545</v>
          </cell>
          <cell r="H121" t="str">
            <v>RUA NOGUEIRA NEVES 22</v>
          </cell>
          <cell r="I121" t="str">
            <v>CENTRO</v>
          </cell>
          <cell r="J121" t="str">
            <v>36770-070</v>
          </cell>
          <cell r="K121">
            <v>27043</v>
          </cell>
          <cell r="L121" t="str">
            <v>MG</v>
          </cell>
          <cell r="M121" t="str">
            <v>3231121008</v>
          </cell>
          <cell r="N121">
            <v>877</v>
          </cell>
          <cell r="O121" t="str">
            <v>3231121008</v>
          </cell>
          <cell r="P121" t="str">
            <v>karolina.goncalves@factalojas.com.br</v>
          </cell>
          <cell r="Q121" t="str">
            <v>karolina.goncalves@factalojas.com.br</v>
          </cell>
          <cell r="S121" t="str">
            <v>loja400013@factalojas.com.br</v>
          </cell>
          <cell r="T121" t="str">
            <v>400013</v>
          </cell>
          <cell r="U121" t="str">
            <v/>
          </cell>
          <cell r="W121" t="str">
            <v>A</v>
          </cell>
        </row>
        <row r="122">
          <cell r="A122">
            <v>600064</v>
          </cell>
          <cell r="B122" t="str">
            <v>LOJA SUZANO - SP</v>
          </cell>
          <cell r="C122">
            <v>6253</v>
          </cell>
          <cell r="D122" t="str">
            <v>MIRIAM DE SALLES BARBIERI</v>
          </cell>
          <cell r="E122">
            <v>3826</v>
          </cell>
          <cell r="F122" t="str">
            <v>CINARA REGINA KEMERICH</v>
          </cell>
          <cell r="G122">
            <v>44545</v>
          </cell>
          <cell r="H122" t="str">
            <v>RUA GERERAL FRANCISCO GLICERIO 950</v>
          </cell>
          <cell r="I122" t="str">
            <v>CENTRO</v>
          </cell>
          <cell r="J122" t="str">
            <v>08674-002</v>
          </cell>
          <cell r="K122">
            <v>25305</v>
          </cell>
          <cell r="L122" t="str">
            <v>SP</v>
          </cell>
          <cell r="M122" t="str">
            <v>1140403768</v>
          </cell>
          <cell r="N122">
            <v>889</v>
          </cell>
          <cell r="O122" t="str">
            <v>1140403768</v>
          </cell>
          <cell r="P122" t="str">
            <v>alice.santos@factalojas.com.br</v>
          </cell>
          <cell r="Q122" t="str">
            <v>alice.santos@factalojas.com.br</v>
          </cell>
          <cell r="S122" t="str">
            <v>loja600064@factalojas.com.br</v>
          </cell>
          <cell r="T122" t="str">
            <v>600064</v>
          </cell>
          <cell r="U122" t="str">
            <v xml:space="preserve">_x000D_
</v>
          </cell>
          <cell r="W122" t="str">
            <v>A</v>
          </cell>
        </row>
        <row r="123">
          <cell r="A123">
            <v>6000024</v>
          </cell>
          <cell r="B123" t="str">
            <v>LOJA AGIL ANGRA DOS REIS - RJ</v>
          </cell>
          <cell r="C123">
            <v>7068</v>
          </cell>
          <cell r="D123" t="str">
            <v>CLEBER ROBERTO BARBOSA DOS SANTOS</v>
          </cell>
          <cell r="E123">
            <v>7068</v>
          </cell>
          <cell r="F123" t="str">
            <v>CLEBER ROBERTO BARBOSA DOS SANTOS</v>
          </cell>
          <cell r="G123">
            <v>44545</v>
          </cell>
          <cell r="H123" t="str">
            <v>RUA DA CONCEIÇAO, 16</v>
          </cell>
          <cell r="I123" t="str">
            <v>CENTRO</v>
          </cell>
          <cell r="J123" t="str">
            <v>23900-437</v>
          </cell>
          <cell r="K123">
            <v>26160</v>
          </cell>
          <cell r="L123" t="str">
            <v>RJ</v>
          </cell>
          <cell r="M123" t="str">
            <v>000000000000</v>
          </cell>
          <cell r="N123">
            <v>880</v>
          </cell>
          <cell r="O123" t="str">
            <v>000000000000</v>
          </cell>
          <cell r="P123" t="str">
            <v>-------</v>
          </cell>
          <cell r="Q123" t="str">
            <v>-------</v>
          </cell>
          <cell r="S123" t="str">
            <v>-------</v>
          </cell>
          <cell r="T123" t="str">
            <v>6000024</v>
          </cell>
          <cell r="U123" t="str">
            <v>Inat. 10/02 - solicitado Gestor Cristiano</v>
          </cell>
          <cell r="W123" t="str">
            <v>I</v>
          </cell>
        </row>
        <row r="124">
          <cell r="A124">
            <v>200022</v>
          </cell>
          <cell r="B124" t="str">
            <v>LOJA ITAJAI - SC</v>
          </cell>
          <cell r="C124">
            <v>6096</v>
          </cell>
          <cell r="D124" t="str">
            <v>ANA PAULA PICOLLI</v>
          </cell>
          <cell r="E124">
            <v>763</v>
          </cell>
          <cell r="F124" t="str">
            <v>ADRIELE DA SILVA SOUZA</v>
          </cell>
          <cell r="G124">
            <v>44517</v>
          </cell>
          <cell r="H124" t="str">
            <v>AV SETE DE SETEMBRO, 242</v>
          </cell>
          <cell r="I124" t="str">
            <v>CENTRO</v>
          </cell>
          <cell r="J124" t="str">
            <v>88301-200</v>
          </cell>
          <cell r="K124">
            <v>1804</v>
          </cell>
          <cell r="L124" t="str">
            <v>SC</v>
          </cell>
          <cell r="M124" t="str">
            <v>4731700716</v>
          </cell>
          <cell r="N124">
            <v>890</v>
          </cell>
          <cell r="O124" t="str">
            <v>4731700716</v>
          </cell>
          <cell r="P124" t="str">
            <v>loja200022@factalojas.com.br</v>
          </cell>
          <cell r="Q124" t="str">
            <v>loja200022@factalojas.com.br</v>
          </cell>
          <cell r="S124" t="str">
            <v>loja200022@factalojas.com.br</v>
          </cell>
          <cell r="T124" t="str">
            <v>200022</v>
          </cell>
          <cell r="U124" t="str">
            <v/>
          </cell>
          <cell r="W124" t="str">
            <v>A</v>
          </cell>
        </row>
        <row r="125">
          <cell r="A125">
            <v>400010</v>
          </cell>
          <cell r="B125" t="str">
            <v>LOJA SANTOS DUMONT - MG</v>
          </cell>
          <cell r="C125">
            <v>12993</v>
          </cell>
          <cell r="D125" t="str">
            <v>JESSICA FERREIRA FIGUEIREDO</v>
          </cell>
          <cell r="E125">
            <v>3026</v>
          </cell>
          <cell r="F125" t="str">
            <v>MAYARA NOVAIS LOPES</v>
          </cell>
          <cell r="G125">
            <v>44517</v>
          </cell>
          <cell r="H125" t="str">
            <v>PRAÇA CESARIO ALVIM, 17</v>
          </cell>
          <cell r="I125" t="str">
            <v>CENTRO</v>
          </cell>
          <cell r="J125" t="str">
            <v>36240-000</v>
          </cell>
          <cell r="K125">
            <v>3676</v>
          </cell>
          <cell r="L125" t="str">
            <v>MG</v>
          </cell>
          <cell r="M125" t="str">
            <v>3231121004</v>
          </cell>
          <cell r="N125">
            <v>881</v>
          </cell>
          <cell r="O125" t="str">
            <v>3231121004</v>
          </cell>
          <cell r="P125" t="str">
            <v xml:space="preserve">ana.sousa@factalojas.com.br	</v>
          </cell>
          <cell r="Q125" t="str">
            <v xml:space="preserve">ana.sousa@factalojas.com.br	</v>
          </cell>
          <cell r="S125" t="str">
            <v>loja400010@factalojas.com.br</v>
          </cell>
          <cell r="T125" t="str">
            <v>400010</v>
          </cell>
          <cell r="U125" t="str">
            <v xml:space="preserve">_x000D_
</v>
          </cell>
          <cell r="W125" t="str">
            <v>A</v>
          </cell>
        </row>
        <row r="126">
          <cell r="A126">
            <v>400011</v>
          </cell>
          <cell r="B126" t="str">
            <v>LOJA VICOSA - MG</v>
          </cell>
          <cell r="C126">
            <v>12993</v>
          </cell>
          <cell r="D126" t="str">
            <v>JESSICA FERREIRA FIGUEIREDO</v>
          </cell>
          <cell r="E126">
            <v>3026</v>
          </cell>
          <cell r="F126" t="str">
            <v>MAYARA NOVAIS LOPES</v>
          </cell>
          <cell r="G126">
            <v>44517</v>
          </cell>
          <cell r="H126" t="str">
            <v>RUA DOUTOR MILTON BANDEIRA, 111, LOJA 06</v>
          </cell>
          <cell r="I126" t="str">
            <v>CENTRO</v>
          </cell>
          <cell r="J126" t="str">
            <v>36570-172</v>
          </cell>
          <cell r="K126">
            <v>970564</v>
          </cell>
          <cell r="L126" t="str">
            <v>MG</v>
          </cell>
          <cell r="M126" t="str">
            <v>3140639873</v>
          </cell>
          <cell r="N126">
            <v>883</v>
          </cell>
          <cell r="O126" t="str">
            <v>3140639873</v>
          </cell>
          <cell r="P126" t="str">
            <v>jean.assis@factalojas.com.br</v>
          </cell>
          <cell r="Q126" t="str">
            <v>jean.assis@factalojas.com.br</v>
          </cell>
          <cell r="S126" t="str">
            <v>loja400011@factalojas.com.br</v>
          </cell>
          <cell r="T126" t="str">
            <v>400011</v>
          </cell>
          <cell r="U126" t="str">
            <v xml:space="preserve">_x000D_
</v>
          </cell>
          <cell r="W126" t="str">
            <v>A</v>
          </cell>
        </row>
        <row r="127">
          <cell r="A127">
            <v>400012</v>
          </cell>
          <cell r="B127" t="str">
            <v>LOJA MURIAE - MG</v>
          </cell>
          <cell r="C127">
            <v>12993</v>
          </cell>
          <cell r="D127" t="str">
            <v>JESSICA FERREIRA FIGUEIREDO</v>
          </cell>
          <cell r="E127">
            <v>3026</v>
          </cell>
          <cell r="F127" t="str">
            <v>MAYARA NOVAIS LOPES</v>
          </cell>
          <cell r="G127">
            <v>44517</v>
          </cell>
          <cell r="H127" t="str">
            <v xml:space="preserve">RUA PASCOAL BERNARDINO, 231, LOJA C </v>
          </cell>
          <cell r="I127" t="str">
            <v>CENTRO</v>
          </cell>
          <cell r="J127" t="str">
            <v>36880-049</v>
          </cell>
          <cell r="K127">
            <v>970707</v>
          </cell>
          <cell r="L127" t="str">
            <v>MG</v>
          </cell>
          <cell r="M127" t="str">
            <v>3231121003</v>
          </cell>
          <cell r="N127">
            <v>882</v>
          </cell>
          <cell r="O127" t="str">
            <v>3231121003</v>
          </cell>
          <cell r="P127" t="str">
            <v>maria.souza@factalojas.com.br</v>
          </cell>
          <cell r="Q127" t="str">
            <v>maria.souza@factalojas.com.br</v>
          </cell>
          <cell r="S127" t="str">
            <v>loja400012@factalojas.com.br</v>
          </cell>
          <cell r="T127" t="str">
            <v>400012</v>
          </cell>
          <cell r="U127" t="str">
            <v xml:space="preserve">_x000D_
</v>
          </cell>
          <cell r="W127" t="str">
            <v>A</v>
          </cell>
        </row>
        <row r="128">
          <cell r="A128">
            <v>600055</v>
          </cell>
          <cell r="B128" t="str">
            <v>LOJA SAO PAULO - TERMINAL PIMENTAS - SP</v>
          </cell>
          <cell r="G128">
            <v>44517</v>
          </cell>
          <cell r="H128" t="str">
            <v>EST. PRESIDENTE JUSCELINO KUBITSCHEK DE OLIVEIRA</v>
          </cell>
          <cell r="I128" t="str">
            <v>JARDIM ALBERTINA</v>
          </cell>
          <cell r="J128" t="str">
            <v>07252-000</v>
          </cell>
          <cell r="K128">
            <v>25288</v>
          </cell>
          <cell r="L128" t="str">
            <v>SP</v>
          </cell>
          <cell r="M128" t="str">
            <v>1130907844</v>
          </cell>
          <cell r="N128">
            <v>887</v>
          </cell>
          <cell r="O128" t="str">
            <v>1130907844</v>
          </cell>
          <cell r="P128" t="str">
            <v>elves.serrano@factalojas.com.br</v>
          </cell>
          <cell r="Q128" t="str">
            <v>loja600055@factalojas.com.br</v>
          </cell>
          <cell r="S128" t="str">
            <v>loja600055@factalojas.com.br</v>
          </cell>
          <cell r="T128" t="str">
            <v>600055</v>
          </cell>
          <cell r="U128" t="str">
            <v>Loja encerrada.</v>
          </cell>
          <cell r="W128" t="str">
            <v>I</v>
          </cell>
        </row>
        <row r="129">
          <cell r="A129">
            <v>600056</v>
          </cell>
          <cell r="B129" t="str">
            <v>LOJA GUARATINGUETA - SP</v>
          </cell>
          <cell r="C129">
            <v>15127</v>
          </cell>
          <cell r="D129" t="str">
            <v>LOSANGELA HONORIO DE OLIVEIRA</v>
          </cell>
          <cell r="E129">
            <v>6621</v>
          </cell>
          <cell r="F129" t="str">
            <v>THAYSA SANDIM DE SOUZA</v>
          </cell>
          <cell r="G129">
            <v>44517</v>
          </cell>
          <cell r="H129" t="str">
            <v>RUA MONSENHOR FILIPPO, 170 - SALA 5</v>
          </cell>
          <cell r="I129" t="str">
            <v>CENTRO</v>
          </cell>
          <cell r="J129" t="str">
            <v>12501-410</v>
          </cell>
          <cell r="K129">
            <v>25391</v>
          </cell>
          <cell r="L129" t="str">
            <v>SP</v>
          </cell>
          <cell r="M129" t="str">
            <v>1236002736</v>
          </cell>
          <cell r="N129">
            <v>884</v>
          </cell>
          <cell r="O129" t="str">
            <v>1236002736</v>
          </cell>
          <cell r="P129" t="str">
            <v>evelyn.silva@factalojas.com.br</v>
          </cell>
          <cell r="Q129" t="str">
            <v>evelyn.silva@factalojas.com.br</v>
          </cell>
          <cell r="S129" t="str">
            <v>loja600056@factalojas.com.br</v>
          </cell>
          <cell r="T129" t="str">
            <v>600056</v>
          </cell>
          <cell r="U129" t="str">
            <v xml:space="preserve">_x000D_
</v>
          </cell>
          <cell r="W129" t="str">
            <v>A</v>
          </cell>
        </row>
        <row r="130">
          <cell r="A130">
            <v>600057</v>
          </cell>
          <cell r="B130" t="str">
            <v>LOJA TAUBATE - SP</v>
          </cell>
          <cell r="C130">
            <v>15127</v>
          </cell>
          <cell r="D130" t="str">
            <v>LOSANGELA HONORIO DE OLIVEIRA</v>
          </cell>
          <cell r="E130">
            <v>6621</v>
          </cell>
          <cell r="F130" t="str">
            <v>THAYSA SANDIM DE SOUZA</v>
          </cell>
          <cell r="G130">
            <v>44517</v>
          </cell>
          <cell r="H130" t="str">
            <v>RUA SACRAMENTO, 115, LOJA 02</v>
          </cell>
          <cell r="I130" t="str">
            <v>CENTRO</v>
          </cell>
          <cell r="J130" t="str">
            <v>12010-010</v>
          </cell>
          <cell r="K130">
            <v>25366</v>
          </cell>
          <cell r="L130" t="str">
            <v>SP</v>
          </cell>
          <cell r="M130" t="str">
            <v>1222859500</v>
          </cell>
          <cell r="N130">
            <v>888</v>
          </cell>
          <cell r="O130" t="str">
            <v>1222859500</v>
          </cell>
          <cell r="P130" t="str">
            <v>monica.camara@factalojas.com.br</v>
          </cell>
          <cell r="Q130" t="str">
            <v>michele.sampaio@facta.com.br</v>
          </cell>
          <cell r="S130" t="str">
            <v>thaysa.souza@facta.com.br</v>
          </cell>
          <cell r="T130" t="str">
            <v>600057</v>
          </cell>
          <cell r="W130" t="str">
            <v>A</v>
          </cell>
        </row>
        <row r="131">
          <cell r="A131">
            <v>601055</v>
          </cell>
          <cell r="B131" t="str">
            <v>LOJA PORTO ALEGRE - CRISTOVAO COLOMBO - RS</v>
          </cell>
          <cell r="C131">
            <v>10656</v>
          </cell>
          <cell r="D131" t="str">
            <v>VIVIANE FAGUNDES DE MELLO</v>
          </cell>
          <cell r="E131">
            <v>763</v>
          </cell>
          <cell r="F131" t="str">
            <v>ADRIELE DA SILVA SOUZA</v>
          </cell>
          <cell r="G131">
            <v>44516</v>
          </cell>
          <cell r="H131" t="str">
            <v>AV. CRISTÓVÃO COLOMBO, 1320</v>
          </cell>
          <cell r="I131" t="str">
            <v xml:space="preserve">FLORESTA </v>
          </cell>
          <cell r="J131" t="str">
            <v>90560-002</v>
          </cell>
          <cell r="K131">
            <v>35</v>
          </cell>
          <cell r="L131" t="str">
            <v>RS</v>
          </cell>
          <cell r="M131" t="str">
            <v>5140404007</v>
          </cell>
          <cell r="N131">
            <v>462</v>
          </cell>
          <cell r="O131" t="str">
            <v>5140404007</v>
          </cell>
          <cell r="P131" t="str">
            <v>joao.costa@factalojas.com.br</v>
          </cell>
          <cell r="Q131" t="str">
            <v>loja601055@factalojas.com.br</v>
          </cell>
          <cell r="S131" t="str">
            <v>loja601055@factalojas.com.br</v>
          </cell>
          <cell r="T131" t="str">
            <v>601055</v>
          </cell>
          <cell r="U131" t="str">
            <v/>
          </cell>
          <cell r="W131" t="str">
            <v>A</v>
          </cell>
        </row>
        <row r="132">
          <cell r="A132">
            <v>600052</v>
          </cell>
          <cell r="B132" t="str">
            <v>ESTAÇÃO SÃO PAULO</v>
          </cell>
          <cell r="G132">
            <v>44511</v>
          </cell>
          <cell r="H132" t="str">
            <v>CENTRO HISTÓRICO DE SÃO PAULO</v>
          </cell>
          <cell r="J132" t="str">
            <v>01032-001</v>
          </cell>
          <cell r="K132">
            <v>442</v>
          </cell>
          <cell r="L132" t="str">
            <v>SP</v>
          </cell>
          <cell r="M132" t="str">
            <v>000000000000</v>
          </cell>
          <cell r="N132">
            <v>0</v>
          </cell>
          <cell r="O132" t="str">
            <v>000000000000</v>
          </cell>
          <cell r="P132" t="str">
            <v>---------</v>
          </cell>
          <cell r="Q132" t="str">
            <v>---------</v>
          </cell>
          <cell r="S132" t="str">
            <v>---------</v>
          </cell>
          <cell r="T132" t="str">
            <v>600052</v>
          </cell>
          <cell r="U132" t="str">
            <v>28/05/24 - Inativado com de acordo do Cleber</v>
          </cell>
          <cell r="W132" t="str">
            <v>I</v>
          </cell>
        </row>
        <row r="133">
          <cell r="A133">
            <v>200020</v>
          </cell>
          <cell r="B133" t="str">
            <v>LOJA UMUARAMA - PR</v>
          </cell>
          <cell r="C133">
            <v>5897</v>
          </cell>
          <cell r="D133" t="str">
            <v>THAINARA DO CARMO SANTOS</v>
          </cell>
          <cell r="E133">
            <v>3826</v>
          </cell>
          <cell r="F133" t="str">
            <v>CINARA REGINA KEMERICH</v>
          </cell>
          <cell r="G133">
            <v>44508</v>
          </cell>
          <cell r="H133" t="str">
            <v>AVENIDA BRASIL, 4140</v>
          </cell>
          <cell r="I133" t="str">
            <v>ZONA I</v>
          </cell>
          <cell r="J133" t="str">
            <v>87501-070</v>
          </cell>
          <cell r="K133">
            <v>6807940</v>
          </cell>
          <cell r="L133" t="str">
            <v>PR</v>
          </cell>
          <cell r="M133" t="str">
            <v>4437711029</v>
          </cell>
          <cell r="N133">
            <v>870</v>
          </cell>
          <cell r="O133" t="str">
            <v>4437711029</v>
          </cell>
          <cell r="P133" t="str">
            <v>loja200020@factalojas.com.br</v>
          </cell>
          <cell r="Q133" t="str">
            <v>dariane.silva@factalojas.com.br</v>
          </cell>
          <cell r="S133" t="str">
            <v>loja200020@factalojas.com.br</v>
          </cell>
          <cell r="T133" t="str">
            <v>200020</v>
          </cell>
          <cell r="U133" t="str">
            <v/>
          </cell>
          <cell r="W133" t="str">
            <v>A</v>
          </cell>
        </row>
        <row r="134">
          <cell r="A134">
            <v>601051</v>
          </cell>
          <cell r="B134" t="str">
            <v>ESTAÇÃO MERCADO</v>
          </cell>
          <cell r="G134">
            <v>44505</v>
          </cell>
          <cell r="H134" t="str">
            <v>CENTRO HISTÓRICO</v>
          </cell>
          <cell r="I134" t="str">
            <v>CENTRO</v>
          </cell>
          <cell r="J134" t="str">
            <v>90030-051</v>
          </cell>
          <cell r="K134">
            <v>35</v>
          </cell>
          <cell r="L134" t="str">
            <v>RS</v>
          </cell>
          <cell r="M134" t="str">
            <v>000000000000</v>
          </cell>
          <cell r="N134">
            <v>0</v>
          </cell>
          <cell r="O134" t="str">
            <v>000000000000</v>
          </cell>
          <cell r="P134" t="str">
            <v>-----------------------------</v>
          </cell>
          <cell r="Q134" t="str">
            <v>-----------------------------</v>
          </cell>
          <cell r="S134" t="str">
            <v>-----------------------------</v>
          </cell>
          <cell r="T134" t="str">
            <v>601051</v>
          </cell>
          <cell r="U134" t="str">
            <v>28/05/24 - Inativado com de acordo do Cleber</v>
          </cell>
          <cell r="W134" t="str">
            <v>I</v>
          </cell>
        </row>
        <row r="135">
          <cell r="A135">
            <v>601052</v>
          </cell>
          <cell r="B135" t="str">
            <v>ESTAÇÃO CANOAS</v>
          </cell>
          <cell r="G135">
            <v>44505</v>
          </cell>
          <cell r="K135">
            <v>7</v>
          </cell>
          <cell r="L135" t="str">
            <v>RS</v>
          </cell>
          <cell r="M135" t="str">
            <v>000000000000</v>
          </cell>
          <cell r="N135">
            <v>0</v>
          </cell>
          <cell r="O135" t="str">
            <v>000000000000</v>
          </cell>
          <cell r="P135" t="str">
            <v>-----------------</v>
          </cell>
          <cell r="Q135" t="str">
            <v>-----------------</v>
          </cell>
          <cell r="S135" t="str">
            <v>-----------------</v>
          </cell>
          <cell r="T135" t="str">
            <v>601052</v>
          </cell>
          <cell r="U135" t="str">
            <v>28/05/24 - Inativado com de acordo do Cleber</v>
          </cell>
          <cell r="W135" t="str">
            <v>I</v>
          </cell>
        </row>
        <row r="136">
          <cell r="A136">
            <v>601053</v>
          </cell>
          <cell r="B136" t="str">
            <v>ESTAÇÃO SAPUCAIA</v>
          </cell>
          <cell r="G136">
            <v>44505</v>
          </cell>
          <cell r="K136">
            <v>14</v>
          </cell>
          <cell r="L136" t="str">
            <v>RS</v>
          </cell>
          <cell r="M136" t="str">
            <v>000000000000</v>
          </cell>
          <cell r="N136">
            <v>0</v>
          </cell>
          <cell r="O136" t="str">
            <v>000000000000</v>
          </cell>
          <cell r="P136" t="str">
            <v>----------------</v>
          </cell>
          <cell r="Q136" t="str">
            <v>----------------</v>
          </cell>
          <cell r="S136" t="str">
            <v>----------------</v>
          </cell>
          <cell r="T136" t="str">
            <v>601053</v>
          </cell>
          <cell r="U136" t="str">
            <v>28/05/24 - Inativado com de acordo do Cleber</v>
          </cell>
          <cell r="W136" t="str">
            <v>I</v>
          </cell>
        </row>
        <row r="137">
          <cell r="A137">
            <v>40324</v>
          </cell>
          <cell r="B137" t="str">
            <v>LOJA CONSELHEIRO LAFAIETE - MG</v>
          </cell>
          <cell r="C137">
            <v>12993</v>
          </cell>
          <cell r="D137" t="str">
            <v>JESSICA FERREIRA FIGUEIREDO</v>
          </cell>
          <cell r="E137">
            <v>3026</v>
          </cell>
          <cell r="F137" t="str">
            <v>MAYARA NOVAIS LOPES</v>
          </cell>
          <cell r="G137">
            <v>44495</v>
          </cell>
          <cell r="H137" t="str">
            <v xml:space="preserve">RUA AFONSO PENA, 86 </v>
          </cell>
          <cell r="I137" t="str">
            <v>CONSELHEIRO LAFAIETE</v>
          </cell>
          <cell r="J137" t="str">
            <v>36400-062</v>
          </cell>
          <cell r="K137">
            <v>1185</v>
          </cell>
          <cell r="L137" t="str">
            <v>MG</v>
          </cell>
          <cell r="M137" t="str">
            <v>3135003628</v>
          </cell>
          <cell r="N137">
            <v>878</v>
          </cell>
          <cell r="O137" t="str">
            <v>3135003628</v>
          </cell>
          <cell r="P137" t="str">
            <v>lurdes.sousa@factalojas.com.br</v>
          </cell>
          <cell r="Q137" t="str">
            <v>loja40324@factalojas.com.br</v>
          </cell>
          <cell r="S137" t="str">
            <v>loja40324@factalojas.com.br</v>
          </cell>
          <cell r="T137" t="str">
            <v>40324</v>
          </cell>
          <cell r="U137" t="str">
            <v/>
          </cell>
          <cell r="W137" t="str">
            <v>A</v>
          </cell>
        </row>
        <row r="138">
          <cell r="A138">
            <v>40325</v>
          </cell>
          <cell r="B138" t="str">
            <v>LOJA JUIZ DE FORA - MG</v>
          </cell>
          <cell r="C138">
            <v>12993</v>
          </cell>
          <cell r="D138" t="str">
            <v>JESSICA FERREIRA FIGUEIREDO</v>
          </cell>
          <cell r="E138">
            <v>3026</v>
          </cell>
          <cell r="F138" t="str">
            <v>MAYARA NOVAIS LOPES</v>
          </cell>
          <cell r="G138">
            <v>44495</v>
          </cell>
          <cell r="H138" t="str">
            <v>RUA BARÃO DE SÃO JOÃO NEPOMUCENO, 66</v>
          </cell>
          <cell r="I138" t="str">
            <v>CENTRO</v>
          </cell>
          <cell r="J138" t="str">
            <v>36014-008</v>
          </cell>
          <cell r="K138">
            <v>363</v>
          </cell>
          <cell r="L138" t="str">
            <v>MG</v>
          </cell>
          <cell r="M138" t="str">
            <v>3231121010</v>
          </cell>
          <cell r="N138">
            <v>879</v>
          </cell>
          <cell r="O138" t="str">
            <v>3231121010</v>
          </cell>
          <cell r="P138" t="str">
            <v>bianca.gomes@factalojas.com.br</v>
          </cell>
          <cell r="Q138" t="str">
            <v>loja40325@factalojas.com.br</v>
          </cell>
          <cell r="S138" t="str">
            <v>loja40325@factalojas.com.br</v>
          </cell>
          <cell r="T138" t="str">
            <v>40325</v>
          </cell>
          <cell r="U138" t="str">
            <v/>
          </cell>
          <cell r="W138" t="str">
            <v>A</v>
          </cell>
        </row>
        <row r="139">
          <cell r="A139">
            <v>600047</v>
          </cell>
          <cell r="B139" t="str">
            <v>LOJA LORENA - SP</v>
          </cell>
          <cell r="C139">
            <v>15127</v>
          </cell>
          <cell r="D139" t="str">
            <v>LOSANGELA HONORIO DE OLIVEIRA</v>
          </cell>
          <cell r="E139">
            <v>6621</v>
          </cell>
          <cell r="F139" t="str">
            <v>THAYSA SANDIM DE SOUZA</v>
          </cell>
          <cell r="G139">
            <v>44495</v>
          </cell>
          <cell r="H139" t="str">
            <v>RUA SÃO BENEDITO, 107</v>
          </cell>
          <cell r="I139" t="str">
            <v>CENTRO</v>
          </cell>
          <cell r="J139" t="str">
            <v>12600-010</v>
          </cell>
          <cell r="K139">
            <v>3553</v>
          </cell>
          <cell r="L139" t="str">
            <v>SP</v>
          </cell>
          <cell r="M139" t="str">
            <v>1236002852</v>
          </cell>
          <cell r="N139">
            <v>885</v>
          </cell>
          <cell r="O139" t="str">
            <v>1236002852</v>
          </cell>
          <cell r="P139" t="str">
            <v>wildson.ferreira@factalojas.com.br</v>
          </cell>
          <cell r="Q139" t="str">
            <v>wildson.ferreira@factalojas.com.br</v>
          </cell>
          <cell r="S139" t="str">
            <v>wildson.ferreira@factalojas.com.br</v>
          </cell>
          <cell r="T139" t="str">
            <v>600047</v>
          </cell>
          <cell r="W139" t="str">
            <v>A</v>
          </cell>
        </row>
        <row r="140">
          <cell r="A140">
            <v>601050</v>
          </cell>
          <cell r="B140" t="str">
            <v>LOJA PORTO ALEGRE - ASSIS BRASIL 3 - RS</v>
          </cell>
          <cell r="C140">
            <v>0</v>
          </cell>
          <cell r="E140">
            <v>0</v>
          </cell>
          <cell r="G140">
            <v>44491</v>
          </cell>
          <cell r="H140" t="str">
            <v>AV.ASSIS BRASIL, 308</v>
          </cell>
          <cell r="I140" t="str">
            <v>SÃO JOAO</v>
          </cell>
          <cell r="J140" t="str">
            <v>91010-000</v>
          </cell>
          <cell r="K140">
            <v>35</v>
          </cell>
          <cell r="L140" t="str">
            <v>RS</v>
          </cell>
          <cell r="M140" t="str">
            <v>5123910715</v>
          </cell>
          <cell r="N140">
            <v>876</v>
          </cell>
          <cell r="O140" t="str">
            <v>5123910715</v>
          </cell>
          <cell r="P140" t="str">
            <v>priscila.souza@factalojas.com.br</v>
          </cell>
          <cell r="Q140" t="str">
            <v>loja601050@factalojas.com.br;igor.lemos@facta.com.br;JOSIANE.SANTOS@FACTA.COM.BR</v>
          </cell>
          <cell r="S140" t="str">
            <v>igor.lemos@facta.com.br;JOSIANE.SANTOS@FACTA.COM.BR</v>
          </cell>
          <cell r="T140" t="str">
            <v>601050</v>
          </cell>
          <cell r="U140" t="str">
            <v xml:space="preserve">16/07 - Inativação 5669538. </v>
          </cell>
          <cell r="W140" t="str">
            <v>I</v>
          </cell>
        </row>
        <row r="141">
          <cell r="A141">
            <v>92760</v>
          </cell>
          <cell r="B141" t="str">
            <v>LOJA UBA - MG</v>
          </cell>
          <cell r="C141">
            <v>12993</v>
          </cell>
          <cell r="D141" t="str">
            <v>JESSICA FERREIRA FIGUEIREDO</v>
          </cell>
          <cell r="E141">
            <v>3026</v>
          </cell>
          <cell r="F141" t="str">
            <v>MAYARA NOVAIS LOPES</v>
          </cell>
          <cell r="G141">
            <v>44490</v>
          </cell>
          <cell r="H141" t="str">
            <v>RUA CRISTIANO ROÇAS, 204 , LOJA 01</v>
          </cell>
          <cell r="I141" t="str">
            <v>CENTRO</v>
          </cell>
          <cell r="J141" t="str">
            <v>36500-000</v>
          </cell>
          <cell r="K141">
            <v>970263</v>
          </cell>
          <cell r="L141" t="str">
            <v>MG</v>
          </cell>
          <cell r="M141" t="str">
            <v>3298207358</v>
          </cell>
          <cell r="N141">
            <v>875</v>
          </cell>
          <cell r="O141" t="str">
            <v>3298207358</v>
          </cell>
          <cell r="P141" t="str">
            <v>lavinia.oliveira@factalojas.com.br</v>
          </cell>
          <cell r="Q141" t="str">
            <v>loja92760@factalojas.com.br</v>
          </cell>
          <cell r="S141" t="str">
            <v>loja92760@factalojas.com.br</v>
          </cell>
          <cell r="T141" t="str">
            <v>92760</v>
          </cell>
          <cell r="U141" t="str">
            <v/>
          </cell>
          <cell r="W141" t="str">
            <v>A</v>
          </cell>
        </row>
        <row r="142">
          <cell r="A142">
            <v>600046</v>
          </cell>
          <cell r="B142" t="str">
            <v>LOJA CRUZEIRO - SP</v>
          </cell>
          <cell r="C142">
            <v>15127</v>
          </cell>
          <cell r="D142" t="str">
            <v>LOSANGELA HONORIO DE OLIVEIRA</v>
          </cell>
          <cell r="E142">
            <v>6621</v>
          </cell>
          <cell r="F142" t="str">
            <v>THAYSA SANDIM DE SOUZA</v>
          </cell>
          <cell r="G142">
            <v>44490</v>
          </cell>
          <cell r="H142" t="str">
            <v>ANTONIO PENIDO, 699</v>
          </cell>
          <cell r="I142" t="str">
            <v>CENTRO</v>
          </cell>
          <cell r="J142" t="str">
            <v>12701-050</v>
          </cell>
          <cell r="K142">
            <v>25400</v>
          </cell>
          <cell r="L142" t="str">
            <v>SP</v>
          </cell>
          <cell r="M142" t="str">
            <v>1236002633</v>
          </cell>
          <cell r="N142">
            <v>410</v>
          </cell>
          <cell r="O142" t="str">
            <v>1236002633</v>
          </cell>
          <cell r="P142" t="str">
            <v>tassia.santos@factalojas.com.br</v>
          </cell>
          <cell r="Q142" t="str">
            <v>tassia.santos@factalojas.com.br</v>
          </cell>
          <cell r="S142" t="str">
            <v>loja600046@factalojas.com.br</v>
          </cell>
          <cell r="T142" t="str">
            <v>600046</v>
          </cell>
          <cell r="U142" t="str">
            <v xml:space="preserve">_x000D_
</v>
          </cell>
          <cell r="W142" t="str">
            <v>A</v>
          </cell>
        </row>
        <row r="143">
          <cell r="A143">
            <v>149800</v>
          </cell>
          <cell r="B143" t="str">
            <v>CALL CENTER PRODUTOS E SERVICOS 9</v>
          </cell>
          <cell r="C143">
            <v>5723</v>
          </cell>
          <cell r="D143" t="str">
            <v>TERESINHA DE JESUS FREITAS SOARES</v>
          </cell>
          <cell r="E143">
            <v>15556</v>
          </cell>
          <cell r="F143" t="str">
            <v>FERNANDA APARECIDA TOMAZINI</v>
          </cell>
          <cell r="G143">
            <v>44467</v>
          </cell>
          <cell r="H143" t="str">
            <v>UA VIGARIO JOSE INACIO, 258 / 260</v>
          </cell>
          <cell r="I143" t="str">
            <v>CENTRO</v>
          </cell>
          <cell r="J143" t="str">
            <v>90020-100</v>
          </cell>
          <cell r="K143">
            <v>35</v>
          </cell>
          <cell r="L143" t="str">
            <v>RS</v>
          </cell>
          <cell r="M143" t="str">
            <v>51 30761818</v>
          </cell>
          <cell r="N143">
            <v>874</v>
          </cell>
          <cell r="O143" t="str">
            <v>51 30761818</v>
          </cell>
          <cell r="P143" t="str">
            <v>raphael.martha@factacall.com.br</v>
          </cell>
          <cell r="Q143" t="str">
            <v>raphael.martha@factacall.com.br</v>
          </cell>
          <cell r="S143" t="str">
            <v>raphael.martha@factacall.com.br</v>
          </cell>
          <cell r="T143" t="str">
            <v>149800</v>
          </cell>
          <cell r="U143" t="str">
            <v/>
          </cell>
          <cell r="W143" t="str">
            <v>A</v>
          </cell>
        </row>
        <row r="144">
          <cell r="A144">
            <v>149600</v>
          </cell>
          <cell r="B144" t="str">
            <v>CALL CENTER PRODUTOS E SERVICOS 8</v>
          </cell>
          <cell r="C144">
            <v>5723</v>
          </cell>
          <cell r="D144" t="str">
            <v>TERESINHA DE JESUS FREITAS SOARES</v>
          </cell>
          <cell r="E144">
            <v>15556</v>
          </cell>
          <cell r="F144" t="str">
            <v>FERNANDA APARECIDA TOMAZINI</v>
          </cell>
          <cell r="G144">
            <v>44463</v>
          </cell>
          <cell r="H144" t="str">
            <v>AV. BORGES DE MEDEIROS, 410, 12º ANDAR</v>
          </cell>
          <cell r="I144" t="str">
            <v>CENTRO</v>
          </cell>
          <cell r="J144" t="str">
            <v>90020-022</v>
          </cell>
          <cell r="K144">
            <v>35</v>
          </cell>
          <cell r="L144" t="str">
            <v>RS</v>
          </cell>
          <cell r="M144" t="str">
            <v>5130761818</v>
          </cell>
          <cell r="N144">
            <v>873</v>
          </cell>
          <cell r="O144" t="str">
            <v>5130761818</v>
          </cell>
          <cell r="P144" t="str">
            <v>teresinha.soares@facta.com.br</v>
          </cell>
          <cell r="Q144" t="str">
            <v>jady.galinati@factacall.com.br</v>
          </cell>
          <cell r="S144" t="str">
            <v>jady.galinati@factacall.com.br</v>
          </cell>
          <cell r="T144" t="str">
            <v>149600</v>
          </cell>
          <cell r="U144" t="str">
            <v/>
          </cell>
          <cell r="W144" t="str">
            <v>A</v>
          </cell>
        </row>
        <row r="145">
          <cell r="A145">
            <v>149700</v>
          </cell>
          <cell r="B145" t="str">
            <v>CALL CENTER PRODUTOS E SERVICOS 6</v>
          </cell>
          <cell r="C145">
            <v>11407</v>
          </cell>
          <cell r="D145" t="str">
            <v>ALISSON MONEGO PEREIRA</v>
          </cell>
          <cell r="E145">
            <v>15556</v>
          </cell>
          <cell r="F145" t="str">
            <v>FERNANDA APARECIDA TOMAZINI</v>
          </cell>
          <cell r="G145">
            <v>44463</v>
          </cell>
          <cell r="H145" t="str">
            <v>AV. BORGES DE MEDEIROS, 410, 12º ANDAR</v>
          </cell>
          <cell r="I145" t="str">
            <v>CENTRO</v>
          </cell>
          <cell r="J145" t="str">
            <v>90020-022</v>
          </cell>
          <cell r="K145">
            <v>35</v>
          </cell>
          <cell r="L145" t="str">
            <v>RS</v>
          </cell>
          <cell r="M145" t="str">
            <v>5130761818</v>
          </cell>
          <cell r="N145">
            <v>872</v>
          </cell>
          <cell r="O145" t="str">
            <v>5130761818</v>
          </cell>
          <cell r="P145" t="str">
            <v>teresinha.soares@facta.com.br</v>
          </cell>
          <cell r="Q145" t="str">
            <v>rodrigo.lopes@factacall.com.br;luiz.medeiros@facta.com.br;alisson.pereira@facta.com.br</v>
          </cell>
          <cell r="S145" t="str">
            <v>rodrigo.lopes@factacall.com.br;luiz.medeiros@facta.com.br;alisson.pereira@facta.com.br</v>
          </cell>
          <cell r="T145" t="str">
            <v>149700</v>
          </cell>
          <cell r="U145" t="str">
            <v/>
          </cell>
          <cell r="W145" t="str">
            <v>A</v>
          </cell>
        </row>
        <row r="146">
          <cell r="A146">
            <v>12257</v>
          </cell>
          <cell r="B146" t="str">
            <v>LOJA JOAO PAULO - MA</v>
          </cell>
          <cell r="C146">
            <v>5313</v>
          </cell>
          <cell r="D146" t="str">
            <v>LUCIANE DA SILVA FONSECA PINHEIRO</v>
          </cell>
          <cell r="E146">
            <v>3026</v>
          </cell>
          <cell r="F146" t="str">
            <v>MAYARA NOVAIS LOPES</v>
          </cell>
          <cell r="G146">
            <v>44431</v>
          </cell>
          <cell r="H146" t="str">
            <v>AV. JOAO PESSOA 182</v>
          </cell>
          <cell r="I146" t="str">
            <v>JOAO PAULO</v>
          </cell>
          <cell r="J146" t="str">
            <v>64040-000</v>
          </cell>
          <cell r="K146">
            <v>970695</v>
          </cell>
          <cell r="L146" t="str">
            <v>MA</v>
          </cell>
          <cell r="M146" t="str">
            <v>9831960348</v>
          </cell>
          <cell r="N146">
            <v>865</v>
          </cell>
          <cell r="O146" t="str">
            <v>9831960348</v>
          </cell>
          <cell r="P146" t="str">
            <v>bianca.mesquita@factalojas.com.br</v>
          </cell>
          <cell r="Q146" t="str">
            <v>bianca.mesquita@factalojas.com.br</v>
          </cell>
          <cell r="S146" t="str">
            <v>mayara.lopes@facta.com.br</v>
          </cell>
          <cell r="T146" t="str">
            <v>12257</v>
          </cell>
          <cell r="U146" t="str">
            <v/>
          </cell>
          <cell r="W146" t="str">
            <v>A</v>
          </cell>
        </row>
        <row r="147">
          <cell r="A147">
            <v>18937</v>
          </cell>
          <cell r="B147" t="str">
            <v>LOJA MANGABEIRA - PB</v>
          </cell>
          <cell r="C147">
            <v>9798</v>
          </cell>
          <cell r="D147" t="str">
            <v>WHANDERSON MATHEUS ARAUJO DA COSTA</v>
          </cell>
          <cell r="E147">
            <v>5452</v>
          </cell>
          <cell r="F147" t="str">
            <v>CRISTIANE CARVALHO GEBELATTO</v>
          </cell>
          <cell r="G147">
            <v>44344</v>
          </cell>
          <cell r="H147" t="str">
            <v>RUA JOSEFA TAVEIRA 1547</v>
          </cell>
          <cell r="I147" t="str">
            <v>MAGABEIRA</v>
          </cell>
          <cell r="J147" t="str">
            <v>58055-000</v>
          </cell>
          <cell r="K147">
            <v>970676</v>
          </cell>
          <cell r="L147" t="str">
            <v>PB</v>
          </cell>
          <cell r="M147" t="str">
            <v>8331420988</v>
          </cell>
          <cell r="N147">
            <v>864</v>
          </cell>
          <cell r="O147" t="str">
            <v>8331420988</v>
          </cell>
          <cell r="P147" t="str">
            <v>isabelly.mendonca@factalojas.com.br</v>
          </cell>
          <cell r="Q147" t="str">
            <v>-</v>
          </cell>
          <cell r="S147" t="str">
            <v>-</v>
          </cell>
          <cell r="T147" t="str">
            <v>18937</v>
          </cell>
          <cell r="U147" t="str">
            <v xml:space="preserve">_x000D_
</v>
          </cell>
          <cell r="W147" t="str">
            <v>A</v>
          </cell>
        </row>
        <row r="148">
          <cell r="A148">
            <v>60507</v>
          </cell>
          <cell r="B148" t="str">
            <v>LOJA NOVA IGUACU - RJ</v>
          </cell>
          <cell r="C148">
            <v>10527</v>
          </cell>
          <cell r="D148" t="str">
            <v>MARIA EDUARDA DELGADO MENESES</v>
          </cell>
          <cell r="E148">
            <v>6621</v>
          </cell>
          <cell r="F148" t="str">
            <v>THAYSA SANDIM DE SOUZA</v>
          </cell>
          <cell r="G148">
            <v>44344</v>
          </cell>
          <cell r="H148" t="str">
            <v>RUA DOM WALMOR, 11</v>
          </cell>
          <cell r="I148" t="str">
            <v>CENTRO</v>
          </cell>
          <cell r="J148" t="str">
            <v>26215-219</v>
          </cell>
          <cell r="K148">
            <v>3577</v>
          </cell>
          <cell r="L148" t="str">
            <v>RJ</v>
          </cell>
          <cell r="M148" t="str">
            <v>2120186949</v>
          </cell>
          <cell r="N148">
            <v>855</v>
          </cell>
          <cell r="O148" t="str">
            <v>2120186949</v>
          </cell>
          <cell r="P148" t="str">
            <v>maria.meneses@facta.com.br</v>
          </cell>
          <cell r="Q148" t="str">
            <v>camila.nascimento@factalojas.com.br</v>
          </cell>
          <cell r="S148" t="str">
            <v>loja60507@factalojas.com.br</v>
          </cell>
          <cell r="T148" t="str">
            <v>60507</v>
          </cell>
          <cell r="U148" t="str">
            <v xml:space="preserve">_x000D_
</v>
          </cell>
          <cell r="W148" t="str">
            <v>A</v>
          </cell>
        </row>
        <row r="149">
          <cell r="A149">
            <v>60099</v>
          </cell>
          <cell r="B149" t="str">
            <v>LOJA BANGU - RJ</v>
          </cell>
          <cell r="C149">
            <v>10966</v>
          </cell>
          <cell r="D149" t="str">
            <v>MARILIA GABRIELA LOPES FARIA</v>
          </cell>
          <cell r="E149">
            <v>6621</v>
          </cell>
          <cell r="F149" t="str">
            <v>THAYSA SANDIM DE SOUZA</v>
          </cell>
          <cell r="G149">
            <v>44326</v>
          </cell>
          <cell r="H149" t="str">
            <v>RUA SILVA CARDOSO 125, LOJA J</v>
          </cell>
          <cell r="I149" t="str">
            <v>BANGU</v>
          </cell>
          <cell r="J149" t="str">
            <v>21810-031</v>
          </cell>
          <cell r="K149">
            <v>405</v>
          </cell>
          <cell r="L149" t="str">
            <v>RJ</v>
          </cell>
          <cell r="M149" t="str">
            <v>2123912541</v>
          </cell>
          <cell r="N149">
            <v>854</v>
          </cell>
          <cell r="O149" t="str">
            <v>2123912541</v>
          </cell>
          <cell r="P149" t="str">
            <v>natane.oliveira@factalojas.com.br</v>
          </cell>
          <cell r="Q149" t="str">
            <v>loja60099@factalojas.com.br</v>
          </cell>
          <cell r="S149" t="str">
            <v>loja60099@factalojas.com.br</v>
          </cell>
          <cell r="T149" t="str">
            <v>60099</v>
          </cell>
          <cell r="W149" t="str">
            <v>A</v>
          </cell>
        </row>
        <row r="150">
          <cell r="A150">
            <v>17513</v>
          </cell>
          <cell r="B150" t="str">
            <v>LOJA TELEGRAFO - PA</v>
          </cell>
          <cell r="C150">
            <v>10987</v>
          </cell>
          <cell r="D150" t="str">
            <v>SILVIA MARIA DOS SANTOS SOUZA CASTRO</v>
          </cell>
          <cell r="E150">
            <v>3026</v>
          </cell>
          <cell r="F150" t="str">
            <v>MAYARA NOVAIS LOPES</v>
          </cell>
          <cell r="G150">
            <v>44306</v>
          </cell>
          <cell r="H150" t="str">
            <v>TRAVESSA DJALMA DULTRA, Nº 542, LOJA 05 - TERREO</v>
          </cell>
          <cell r="I150" t="str">
            <v>TELEGRAFO</v>
          </cell>
          <cell r="K150">
            <v>584</v>
          </cell>
          <cell r="L150" t="str">
            <v>PA</v>
          </cell>
          <cell r="M150" t="str">
            <v>9140404946</v>
          </cell>
          <cell r="N150">
            <v>847</v>
          </cell>
          <cell r="O150" t="str">
            <v>9140404946</v>
          </cell>
          <cell r="P150" t="str">
            <v>1</v>
          </cell>
          <cell r="Q150" t="str">
            <v>loja17513@facta.com.br</v>
          </cell>
          <cell r="S150" t="str">
            <v>loja17513@facta.com.br</v>
          </cell>
          <cell r="T150" t="str">
            <v>17513</v>
          </cell>
          <cell r="U150" t="str">
            <v>23/02/24 - Suspenso conforme sol Fiscal/ADM. Email em anexo.</v>
          </cell>
          <cell r="W150" t="str">
            <v>A</v>
          </cell>
        </row>
        <row r="151">
          <cell r="A151">
            <v>17514</v>
          </cell>
          <cell r="B151" t="str">
            <v>LOJA ICOARACI - PA</v>
          </cell>
          <cell r="C151">
            <v>7503</v>
          </cell>
          <cell r="D151" t="str">
            <v>NAYRA BASTOS DA SILVA</v>
          </cell>
          <cell r="E151">
            <v>3026</v>
          </cell>
          <cell r="F151" t="str">
            <v>MAYARA NOVAIS LOPES</v>
          </cell>
          <cell r="G151">
            <v>44306</v>
          </cell>
          <cell r="H151" t="str">
            <v>AV. DR. LOPO DE CASTRO, 293 A</v>
          </cell>
          <cell r="I151" t="str">
            <v>ICOARACI</v>
          </cell>
          <cell r="J151" t="str">
            <v>66810-000</v>
          </cell>
          <cell r="K151">
            <v>584</v>
          </cell>
          <cell r="L151" t="str">
            <v>PA</v>
          </cell>
          <cell r="M151" t="str">
            <v>9186270327</v>
          </cell>
          <cell r="N151">
            <v>848</v>
          </cell>
          <cell r="O151" t="str">
            <v>9186270327</v>
          </cell>
          <cell r="P151" t="str">
            <v>Thais.gomes@factalojas.com.br</v>
          </cell>
          <cell r="Q151" t="str">
            <v>elizangela.silva@factalojas.com.br</v>
          </cell>
          <cell r="S151" t="str">
            <v>loja17514@factalojas.com.br</v>
          </cell>
          <cell r="T151" t="str">
            <v>17514</v>
          </cell>
          <cell r="U151" t="str">
            <v/>
          </cell>
          <cell r="W151" t="str">
            <v>A</v>
          </cell>
        </row>
        <row r="152">
          <cell r="A152">
            <v>61045</v>
          </cell>
          <cell r="B152" t="str">
            <v>LOJA CAMPO GRANDE - RJ</v>
          </cell>
          <cell r="C152">
            <v>10966</v>
          </cell>
          <cell r="D152" t="str">
            <v>MARILIA GABRIELA LOPES FARIA</v>
          </cell>
          <cell r="E152">
            <v>6621</v>
          </cell>
          <cell r="F152" t="str">
            <v>THAYSA SANDIM DE SOUZA</v>
          </cell>
          <cell r="G152">
            <v>44306</v>
          </cell>
          <cell r="H152" t="str">
            <v>AV. CESARIO DE MELO 3006, SALA 105 E 106</v>
          </cell>
          <cell r="I152" t="str">
            <v>CAMPO GRANDE</v>
          </cell>
          <cell r="J152" t="str">
            <v>23050-101</v>
          </cell>
          <cell r="K152">
            <v>405</v>
          </cell>
          <cell r="L152" t="str">
            <v>RJ</v>
          </cell>
          <cell r="N152">
            <v>857</v>
          </cell>
          <cell r="P152" t="str">
            <v>rosicleide.lima@factalojas.com.br</v>
          </cell>
          <cell r="Q152" t="str">
            <v>loja61045@factalojas.com.br</v>
          </cell>
          <cell r="S152" t="str">
            <v>rosicleide.lima@factalojas.com.br</v>
          </cell>
          <cell r="T152" t="str">
            <v>61045</v>
          </cell>
          <cell r="U152" t="str">
            <v/>
          </cell>
          <cell r="W152" t="str">
            <v>A</v>
          </cell>
        </row>
        <row r="153">
          <cell r="A153">
            <v>31388</v>
          </cell>
          <cell r="B153" t="str">
            <v>LOJA SAO JOSE DE RIBAMAR - MA</v>
          </cell>
          <cell r="C153">
            <v>5313</v>
          </cell>
          <cell r="D153" t="str">
            <v>LUCIANE DA SILVA FONSECA PINHEIRO</v>
          </cell>
          <cell r="E153">
            <v>3026</v>
          </cell>
          <cell r="F153" t="str">
            <v>MAYARA NOVAIS LOPES</v>
          </cell>
          <cell r="G153">
            <v>44300</v>
          </cell>
          <cell r="H153" t="str">
            <v>AV. GONÇALVES DIAS 711, SALA 02</v>
          </cell>
          <cell r="I153" t="str">
            <v>CENTRO</v>
          </cell>
          <cell r="J153" t="str">
            <v>65110-000</v>
          </cell>
          <cell r="K153">
            <v>29977</v>
          </cell>
          <cell r="L153" t="str">
            <v>MA</v>
          </cell>
          <cell r="M153" t="str">
            <v>9831960303</v>
          </cell>
          <cell r="N153">
            <v>852</v>
          </cell>
          <cell r="O153" t="str">
            <v>9831960303</v>
          </cell>
          <cell r="P153" t="str">
            <v>stephanie.carvalho@factalojas.com.br</v>
          </cell>
          <cell r="Q153" t="str">
            <v>ana.fabia@facta.com.br</v>
          </cell>
          <cell r="S153" t="str">
            <v>loja31388@factalojas.com.br</v>
          </cell>
          <cell r="T153" t="str">
            <v>31388</v>
          </cell>
          <cell r="U153" t="str">
            <v/>
          </cell>
          <cell r="W153" t="str">
            <v>A</v>
          </cell>
        </row>
        <row r="154">
          <cell r="A154">
            <v>60500</v>
          </cell>
          <cell r="B154" t="str">
            <v>LOJA NITEROI - RJ</v>
          </cell>
          <cell r="C154">
            <v>10527</v>
          </cell>
          <cell r="D154" t="str">
            <v>MARIA EDUARDA DELGADO MENESES</v>
          </cell>
          <cell r="E154">
            <v>6621</v>
          </cell>
          <cell r="F154" t="str">
            <v>THAYSA SANDIM DE SOUZA</v>
          </cell>
          <cell r="G154">
            <v>44299</v>
          </cell>
          <cell r="H154" t="str">
            <v>AVENIDA AMARAL PEIXOTO 36, LOJA 03</v>
          </cell>
          <cell r="I154" t="str">
            <v>CENTRO</v>
          </cell>
          <cell r="J154" t="str">
            <v>24020-074</v>
          </cell>
          <cell r="K154">
            <v>540</v>
          </cell>
          <cell r="L154" t="str">
            <v>RJ</v>
          </cell>
          <cell r="M154" t="str">
            <v>2140404188</v>
          </cell>
          <cell r="N154">
            <v>862</v>
          </cell>
          <cell r="O154" t="str">
            <v>2140404188</v>
          </cell>
          <cell r="P154" t="str">
            <v>fernanda.pereira@factalojas.com.br</v>
          </cell>
          <cell r="Q154" t="str">
            <v>loja60500@factalojas.com.br;fernanda.pereira@factalojas.com.br;jessica.oliveira@facta.com.br</v>
          </cell>
          <cell r="S154" t="str">
            <v>loja60500@factalojas.com.br</v>
          </cell>
          <cell r="T154" t="str">
            <v>60500</v>
          </cell>
          <cell r="U154" t="str">
            <v/>
          </cell>
          <cell r="W154" t="str">
            <v>A</v>
          </cell>
        </row>
        <row r="155">
          <cell r="A155">
            <v>60501</v>
          </cell>
          <cell r="B155" t="str">
            <v>LOJA MADUREIRA - RJ</v>
          </cell>
          <cell r="C155">
            <v>10966</v>
          </cell>
          <cell r="D155" t="str">
            <v>MARILIA GABRIELA LOPES FARIA</v>
          </cell>
          <cell r="E155">
            <v>6621</v>
          </cell>
          <cell r="F155" t="str">
            <v>THAYSA SANDIM DE SOUZA</v>
          </cell>
          <cell r="G155">
            <v>44299</v>
          </cell>
          <cell r="H155" t="str">
            <v>TRAVESSA ALMERINDA FREITAS 41, LOJA B</v>
          </cell>
          <cell r="I155" t="str">
            <v>MADUREIRA</v>
          </cell>
          <cell r="J155" t="str">
            <v>21350-280</v>
          </cell>
          <cell r="K155">
            <v>405</v>
          </cell>
          <cell r="L155" t="str">
            <v>RJ</v>
          </cell>
          <cell r="M155" t="str">
            <v>2130900250</v>
          </cell>
          <cell r="N155">
            <v>856</v>
          </cell>
          <cell r="O155" t="str">
            <v>2130900250</v>
          </cell>
          <cell r="P155" t="str">
            <v>vanessa.nascimento@factalojas.com.br</v>
          </cell>
          <cell r="Q155" t="str">
            <v>loja60501@factalojas.com.br;vanessa.nascimento@factalojas.com.br</v>
          </cell>
          <cell r="S155" t="str">
            <v>loja60501@factalojas.com.br</v>
          </cell>
          <cell r="T155" t="str">
            <v>60501</v>
          </cell>
          <cell r="U155" t="str">
            <v/>
          </cell>
          <cell r="W155" t="str">
            <v>A</v>
          </cell>
        </row>
        <row r="156">
          <cell r="A156">
            <v>60502</v>
          </cell>
          <cell r="B156" t="str">
            <v>LOJA RIO DE JANEIRO - MEIER - RJ</v>
          </cell>
          <cell r="C156">
            <v>10966</v>
          </cell>
          <cell r="D156" t="str">
            <v>MARILIA GABRIELA LOPES FARIA</v>
          </cell>
          <cell r="E156">
            <v>6621</v>
          </cell>
          <cell r="F156" t="str">
            <v>THAYSA SANDIM DE SOUZA</v>
          </cell>
          <cell r="G156">
            <v>44299</v>
          </cell>
          <cell r="H156" t="str">
            <v>RUA CONSTANÇA BARBOSA 96, LOJA E</v>
          </cell>
          <cell r="I156" t="str">
            <v>MEIER</v>
          </cell>
          <cell r="J156" t="str">
            <v>20735-090</v>
          </cell>
          <cell r="K156">
            <v>405</v>
          </cell>
          <cell r="L156" t="str">
            <v>RJ</v>
          </cell>
          <cell r="M156" t="str">
            <v>2140404214</v>
          </cell>
          <cell r="N156">
            <v>858</v>
          </cell>
          <cell r="O156" t="str">
            <v>2140404214</v>
          </cell>
          <cell r="P156" t="str">
            <v>thamires.gomes@factalojas.com.br</v>
          </cell>
          <cell r="Q156" t="str">
            <v>loja60502@factalojas.com.br</v>
          </cell>
          <cell r="S156" t="str">
            <v>loja60502@factalojas.com.br</v>
          </cell>
          <cell r="T156" t="str">
            <v>60502</v>
          </cell>
          <cell r="U156" t="str">
            <v/>
          </cell>
          <cell r="W156" t="str">
            <v>A</v>
          </cell>
        </row>
        <row r="157">
          <cell r="A157">
            <v>60503</v>
          </cell>
          <cell r="B157" t="str">
            <v>LOJA DUQUE DE CAXIAS - RJ</v>
          </cell>
          <cell r="C157">
            <v>10527</v>
          </cell>
          <cell r="D157" t="str">
            <v>MARIA EDUARDA DELGADO MENESES</v>
          </cell>
          <cell r="E157">
            <v>6621</v>
          </cell>
          <cell r="F157" t="str">
            <v>THAYSA SANDIM DE SOUZA</v>
          </cell>
          <cell r="G157">
            <v>44299</v>
          </cell>
          <cell r="H157" t="str">
            <v>AV. BRIGADEIRO LIMA E SILVA 1526, LOJA E E F</v>
          </cell>
          <cell r="I157" t="str">
            <v>JARDIM VINTE E CINCO DE AGOSTO</v>
          </cell>
          <cell r="J157" t="str">
            <v>25071-182</v>
          </cell>
          <cell r="K157">
            <v>97002</v>
          </cell>
          <cell r="L157" t="str">
            <v>RJ</v>
          </cell>
          <cell r="M157" t="str">
            <v>2140404120</v>
          </cell>
          <cell r="N157">
            <v>861</v>
          </cell>
          <cell r="O157" t="str">
            <v>2140404120</v>
          </cell>
          <cell r="P157" t="str">
            <v>thaina.ferreira@factalojas.com.br</v>
          </cell>
          <cell r="Q157" t="str">
            <v>loja60503@factalojas.com.br</v>
          </cell>
          <cell r="S157" t="str">
            <v>loja60503@factalojas.com.br</v>
          </cell>
          <cell r="T157" t="str">
            <v>60503</v>
          </cell>
          <cell r="U157" t="str">
            <v xml:space="preserve">_x000D_
</v>
          </cell>
          <cell r="W157" t="str">
            <v>A</v>
          </cell>
        </row>
        <row r="158">
          <cell r="A158">
            <v>60498</v>
          </cell>
          <cell r="B158" t="str">
            <v>LOJA RESENDE - RJ</v>
          </cell>
          <cell r="C158">
            <v>15127</v>
          </cell>
          <cell r="D158" t="str">
            <v>LOSANGELA HONORIO DE OLIVEIRA</v>
          </cell>
          <cell r="E158">
            <v>6621</v>
          </cell>
          <cell r="F158" t="str">
            <v>THAYSA SANDIM DE SOUZA</v>
          </cell>
          <cell r="G158">
            <v>44295</v>
          </cell>
          <cell r="H158" t="str">
            <v>AV. NOVA RESENDE Nº 31, LOJA 01</v>
          </cell>
          <cell r="I158" t="str">
            <v>CAMPOS ELISEOS</v>
          </cell>
          <cell r="J158" t="str">
            <v>27542-130</v>
          </cell>
          <cell r="K158">
            <v>26247</v>
          </cell>
          <cell r="L158" t="str">
            <v>RJ</v>
          </cell>
          <cell r="M158" t="str">
            <v>2435123002</v>
          </cell>
          <cell r="N158">
            <v>843</v>
          </cell>
          <cell r="O158" t="str">
            <v>2435123002</v>
          </cell>
          <cell r="P158" t="str">
            <v>suelen.viana@factalojas.com.br</v>
          </cell>
          <cell r="Q158" t="str">
            <v>suelen.viana@factalojas.com.br</v>
          </cell>
          <cell r="S158" t="str">
            <v>suelen.viana@factalojas.com.br</v>
          </cell>
          <cell r="T158" t="str">
            <v>60498</v>
          </cell>
          <cell r="U158" t="str">
            <v/>
          </cell>
          <cell r="W158" t="str">
            <v>A</v>
          </cell>
        </row>
        <row r="159">
          <cell r="A159">
            <v>60495</v>
          </cell>
          <cell r="B159" t="str">
            <v>LOJA BARRA MANSA - RJ</v>
          </cell>
          <cell r="C159">
            <v>15127</v>
          </cell>
          <cell r="D159" t="str">
            <v>LOSANGELA HONORIO DE OLIVEIRA</v>
          </cell>
          <cell r="E159">
            <v>6621</v>
          </cell>
          <cell r="F159" t="str">
            <v>THAYSA SANDIM DE SOUZA</v>
          </cell>
          <cell r="G159">
            <v>44294</v>
          </cell>
          <cell r="H159" t="str">
            <v>AV. JOAQUIM LEITE, Nº 509,EDIF SHOP E HOUSE, LJ 3</v>
          </cell>
          <cell r="I159" t="str">
            <v>CENTRO</v>
          </cell>
          <cell r="K159">
            <v>970999</v>
          </cell>
          <cell r="L159" t="str">
            <v>RJ</v>
          </cell>
          <cell r="M159" t="str">
            <v>2435120120</v>
          </cell>
          <cell r="N159">
            <v>851</v>
          </cell>
          <cell r="O159" t="str">
            <v>2435120120</v>
          </cell>
          <cell r="P159" t="str">
            <v>loja60495@factalojas.com.br</v>
          </cell>
          <cell r="Q159" t="str">
            <v>loja60495@factalojas.com.br</v>
          </cell>
          <cell r="S159" t="str">
            <v>loja60495@factalojas.com.br</v>
          </cell>
          <cell r="T159" t="str">
            <v>60495</v>
          </cell>
          <cell r="U159" t="str">
            <v/>
          </cell>
          <cell r="W159" t="str">
            <v>A</v>
          </cell>
        </row>
        <row r="160">
          <cell r="A160">
            <v>60494</v>
          </cell>
          <cell r="B160" t="str">
            <v>LOJA VOLTA REDONDA 2 - RJ</v>
          </cell>
          <cell r="C160">
            <v>15127</v>
          </cell>
          <cell r="D160" t="str">
            <v>LOSANGELA HONORIO DE OLIVEIRA</v>
          </cell>
          <cell r="E160">
            <v>6621</v>
          </cell>
          <cell r="F160" t="str">
            <v>THAYSA SANDIM DE SOUZA</v>
          </cell>
          <cell r="G160">
            <v>44292</v>
          </cell>
          <cell r="H160" t="str">
            <v>RUA SAGRES, 27, LOJA 27</v>
          </cell>
          <cell r="I160" t="str">
            <v>RETIRO</v>
          </cell>
          <cell r="K160">
            <v>1038</v>
          </cell>
          <cell r="L160" t="str">
            <v>RJ</v>
          </cell>
          <cell r="M160" t="str">
            <v>2435123033</v>
          </cell>
          <cell r="N160">
            <v>853</v>
          </cell>
          <cell r="O160" t="str">
            <v>2435123033</v>
          </cell>
          <cell r="P160" t="str">
            <v>loja60494@factalojas.com.br</v>
          </cell>
          <cell r="Q160" t="str">
            <v>loja60494@factalojas.com.br</v>
          </cell>
          <cell r="S160" t="str">
            <v>loja60494@factalojas.com.br</v>
          </cell>
          <cell r="T160" t="str">
            <v>60494</v>
          </cell>
          <cell r="U160" t="str">
            <v xml:space="preserve">_x000D_
</v>
          </cell>
          <cell r="W160" t="str">
            <v>A</v>
          </cell>
        </row>
        <row r="161">
          <cell r="A161">
            <v>54512</v>
          </cell>
          <cell r="B161" t="str">
            <v>LOJA JUNDIAI - SP</v>
          </cell>
          <cell r="C161">
            <v>8976</v>
          </cell>
          <cell r="D161" t="str">
            <v>ANDREY COSTA DA ROCHA</v>
          </cell>
          <cell r="E161">
            <v>3826</v>
          </cell>
          <cell r="F161" t="str">
            <v>CINARA REGINA KEMERICH</v>
          </cell>
          <cell r="G161">
            <v>44287</v>
          </cell>
          <cell r="H161" t="str">
            <v>RUA VIGARIO JOAO JOSE RODRIGUES 969</v>
          </cell>
          <cell r="I161" t="str">
            <v>CENTRO</v>
          </cell>
          <cell r="J161" t="str">
            <v>13201-001</v>
          </cell>
          <cell r="K161">
            <v>687</v>
          </cell>
          <cell r="L161" t="str">
            <v>SP</v>
          </cell>
          <cell r="M161" t="str">
            <v>1130903140</v>
          </cell>
          <cell r="N161">
            <v>850</v>
          </cell>
          <cell r="O161" t="str">
            <v>1130903140</v>
          </cell>
          <cell r="P161" t="str">
            <v>aline.mendes@factalojas.com.br</v>
          </cell>
          <cell r="Q161" t="str">
            <v>nicole.mendes@factalojas.com.br</v>
          </cell>
          <cell r="S161" t="str">
            <v>loja54512@factalojas.com.br;nicole.mendes@factalojas.com.br</v>
          </cell>
          <cell r="T161" t="str">
            <v>54512</v>
          </cell>
          <cell r="U161" t="str">
            <v xml:space="preserve">_x000D_
</v>
          </cell>
          <cell r="W161" t="str">
            <v>A</v>
          </cell>
        </row>
        <row r="162">
          <cell r="A162">
            <v>31381</v>
          </cell>
          <cell r="B162" t="str">
            <v>LOJA PACO DO LUMIAR - MA</v>
          </cell>
          <cell r="C162">
            <v>5313</v>
          </cell>
          <cell r="D162" t="str">
            <v>LUCIANE DA SILVA FONSECA PINHEIRO</v>
          </cell>
          <cell r="E162">
            <v>3026</v>
          </cell>
          <cell r="F162" t="str">
            <v>MAYARA NOVAIS LOPES</v>
          </cell>
          <cell r="G162">
            <v>44251</v>
          </cell>
          <cell r="H162" t="str">
            <v>RODOVIA MA-201 (ESTRADA DE RIBAMAR) KM 7, Nº 7114</v>
          </cell>
          <cell r="I162" t="str">
            <v>BAIRRO TIJUPÁ QUEIMADO</v>
          </cell>
          <cell r="K162">
            <v>29979</v>
          </cell>
          <cell r="L162" t="str">
            <v>MA</v>
          </cell>
          <cell r="M162" t="str">
            <v>9831960301</v>
          </cell>
          <cell r="N162">
            <v>844</v>
          </cell>
          <cell r="O162" t="str">
            <v>9831960301</v>
          </cell>
          <cell r="P162" t="str">
            <v>tayane.viana@factalojas.com.br</v>
          </cell>
          <cell r="Q162" t="str">
            <v>tayane.viana@factalojas.com.br</v>
          </cell>
          <cell r="S162" t="str">
            <v>loja31381@factalojas.com.br</v>
          </cell>
          <cell r="T162" t="str">
            <v>31381</v>
          </cell>
          <cell r="U162" t="str">
            <v/>
          </cell>
          <cell r="W162" t="str">
            <v>A</v>
          </cell>
        </row>
        <row r="163">
          <cell r="A163">
            <v>31382</v>
          </cell>
          <cell r="B163" t="str">
            <v>LOJA TIRIRICAL - MA</v>
          </cell>
          <cell r="C163">
            <v>5313</v>
          </cell>
          <cell r="D163" t="str">
            <v>LUCIANE DA SILVA FONSECA PINHEIRO</v>
          </cell>
          <cell r="E163">
            <v>3026</v>
          </cell>
          <cell r="F163" t="str">
            <v>MAYARA NOVAIS LOPES</v>
          </cell>
          <cell r="G163">
            <v>44251</v>
          </cell>
          <cell r="H163" t="str">
            <v>AV. GUARAJARAS, Nº 30, Shopping Marajo LJ 07</v>
          </cell>
          <cell r="I163" t="str">
            <v>TIRIRICAL</v>
          </cell>
          <cell r="J163" t="str">
            <v>65055-285</v>
          </cell>
          <cell r="K163">
            <v>970695</v>
          </cell>
          <cell r="L163" t="str">
            <v>MA</v>
          </cell>
          <cell r="M163" t="str">
            <v>9831960300</v>
          </cell>
          <cell r="N163">
            <v>846</v>
          </cell>
          <cell r="O163" t="str">
            <v>9831960300</v>
          </cell>
          <cell r="P163" t="str">
            <v>sarah.soares@factalojas.com.br;loja31382@factalojas.com.br</v>
          </cell>
          <cell r="Q163" t="str">
            <v>sarah.soares@factalojas.com.br</v>
          </cell>
          <cell r="S163" t="str">
            <v>mayara.lopes@facta.com.br</v>
          </cell>
          <cell r="T163" t="str">
            <v>31382</v>
          </cell>
          <cell r="U163" t="str">
            <v/>
          </cell>
          <cell r="W163" t="str">
            <v>A</v>
          </cell>
        </row>
        <row r="164">
          <cell r="A164">
            <v>61019</v>
          </cell>
          <cell r="B164" t="str">
            <v>LOJA BARRA DO PIRAI - RJ</v>
          </cell>
          <cell r="C164">
            <v>15127</v>
          </cell>
          <cell r="D164" t="str">
            <v>LOSANGELA HONORIO DE OLIVEIRA</v>
          </cell>
          <cell r="E164">
            <v>6621</v>
          </cell>
          <cell r="F164" t="str">
            <v>THAYSA SANDIM DE SOUZA</v>
          </cell>
          <cell r="G164">
            <v>44251</v>
          </cell>
          <cell r="H164" t="str">
            <v>RUA GOVERNADOR PORTELA, Nº 229</v>
          </cell>
          <cell r="I164" t="str">
            <v>CENTRO</v>
          </cell>
          <cell r="J164" t="str">
            <v>27123-000</v>
          </cell>
          <cell r="K164">
            <v>26228</v>
          </cell>
          <cell r="L164" t="str">
            <v>RJ</v>
          </cell>
          <cell r="M164" t="str">
            <v>2440092817</v>
          </cell>
          <cell r="N164">
            <v>842</v>
          </cell>
          <cell r="O164" t="str">
            <v>2440092817</v>
          </cell>
          <cell r="P164" t="str">
            <v>maria.sposito@factalojas.com.br</v>
          </cell>
          <cell r="Q164" t="str">
            <v>maria.sposito@factalojas.com.br</v>
          </cell>
          <cell r="S164" t="str">
            <v>thaysa.souza@facta.com.br</v>
          </cell>
          <cell r="T164" t="str">
            <v>61019</v>
          </cell>
          <cell r="W164" t="str">
            <v>A</v>
          </cell>
        </row>
        <row r="165">
          <cell r="A165">
            <v>71002</v>
          </cell>
          <cell r="B165" t="str">
            <v>LOJA COMERCIO - BA</v>
          </cell>
          <cell r="C165">
            <v>12518</v>
          </cell>
          <cell r="D165" t="str">
            <v>LUANA SANTOS FURMANEK</v>
          </cell>
          <cell r="E165">
            <v>5452</v>
          </cell>
          <cell r="F165" t="str">
            <v>CRISTIANE CARVALHO GEBELATTO</v>
          </cell>
          <cell r="G165">
            <v>44249</v>
          </cell>
          <cell r="H165" t="str">
            <v xml:space="preserve">RUA DA BÉLGICA, 148 LOJA C </v>
          </cell>
          <cell r="I165" t="str">
            <v>COMÉRCIO</v>
          </cell>
          <cell r="J165" t="str">
            <v>40010-030</v>
          </cell>
          <cell r="K165">
            <v>1002</v>
          </cell>
          <cell r="L165" t="str">
            <v>BA</v>
          </cell>
          <cell r="M165" t="str">
            <v>7199375172</v>
          </cell>
          <cell r="N165">
            <v>845</v>
          </cell>
          <cell r="O165" t="str">
            <v>7199375172</v>
          </cell>
          <cell r="P165" t="str">
            <v>dhougllas.filho@factalojas.com.br;loja71002@factalojas.com.br</v>
          </cell>
          <cell r="Q165" t="str">
            <v>dhougllas.filho@factalojas.com.br</v>
          </cell>
          <cell r="S165" t="str">
            <v>dhougllas.filho@factalojas.com.br</v>
          </cell>
          <cell r="T165" t="str">
            <v>71002</v>
          </cell>
          <cell r="U165" t="str">
            <v/>
          </cell>
          <cell r="W165" t="str">
            <v>A</v>
          </cell>
        </row>
        <row r="166">
          <cell r="A166">
            <v>2945</v>
          </cell>
          <cell r="B166" t="str">
            <v>LOJA SAO JOSE - SC</v>
          </cell>
          <cell r="C166">
            <v>6096</v>
          </cell>
          <cell r="D166" t="str">
            <v>ANA PAULA PICOLLI</v>
          </cell>
          <cell r="E166">
            <v>763</v>
          </cell>
          <cell r="F166" t="str">
            <v>ADRIELE DA SILVA SOUZA</v>
          </cell>
          <cell r="G166">
            <v>44213</v>
          </cell>
          <cell r="H166" t="str">
            <v>rua joão saturnino ouriques</v>
          </cell>
          <cell r="I166" t="str">
            <v>CAMPINAS</v>
          </cell>
          <cell r="J166" t="str">
            <v>88101-350</v>
          </cell>
          <cell r="K166">
            <v>121212</v>
          </cell>
          <cell r="L166" t="str">
            <v>SC</v>
          </cell>
          <cell r="M166" t="str">
            <v>4891338903</v>
          </cell>
          <cell r="N166">
            <v>849</v>
          </cell>
          <cell r="O166" t="str">
            <v>4891338903</v>
          </cell>
          <cell r="P166" t="str">
            <v>juliano.alexandrim@factalojas.com.br</v>
          </cell>
          <cell r="Q166" t="str">
            <v>loja2945@factalojas.com.br;sara.lacerda@factalojas.com.br</v>
          </cell>
          <cell r="S166" t="str">
            <v>loja2945@factalojas.com.br;sara.lacerda@factalojas.com.br</v>
          </cell>
          <cell r="T166" t="str">
            <v>2945</v>
          </cell>
          <cell r="U166" t="str">
            <v/>
          </cell>
          <cell r="W166" t="str">
            <v>A</v>
          </cell>
        </row>
        <row r="167">
          <cell r="A167">
            <v>7747</v>
          </cell>
          <cell r="B167" t="str">
            <v>LOJA CABULA - BA</v>
          </cell>
          <cell r="C167">
            <v>12518</v>
          </cell>
          <cell r="D167" t="str">
            <v>LUANA SANTOS FURMANEK</v>
          </cell>
          <cell r="E167">
            <v>5452</v>
          </cell>
          <cell r="F167" t="str">
            <v>CRISTIANE CARVALHO GEBELATTO</v>
          </cell>
          <cell r="G167">
            <v>44213</v>
          </cell>
          <cell r="H167" t="str">
            <v>SÃO GONÇALO 0001, LOJA 17</v>
          </cell>
          <cell r="I167" t="str">
            <v>CABULA</v>
          </cell>
          <cell r="J167" t="str">
            <v>41185-055</v>
          </cell>
          <cell r="K167">
            <v>1002</v>
          </cell>
          <cell r="L167" t="str">
            <v>BA</v>
          </cell>
          <cell r="M167" t="str">
            <v>7140404993</v>
          </cell>
          <cell r="N167">
            <v>825</v>
          </cell>
          <cell r="O167" t="str">
            <v>7140404993</v>
          </cell>
          <cell r="P167" t="str">
            <v>rodrigo.conceicao@factalojas.com.br</v>
          </cell>
          <cell r="Q167" t="str">
            <v>loja7747@factalojas.com.br</v>
          </cell>
          <cell r="S167" t="str">
            <v>cristiane.nunes@facta.com.br</v>
          </cell>
          <cell r="T167" t="str">
            <v>7747</v>
          </cell>
          <cell r="U167" t="str">
            <v/>
          </cell>
          <cell r="W167" t="str">
            <v>A</v>
          </cell>
        </row>
        <row r="168">
          <cell r="A168">
            <v>7748</v>
          </cell>
          <cell r="B168" t="str">
            <v>LOJA ITAPUA - BA</v>
          </cell>
          <cell r="C168">
            <v>12518</v>
          </cell>
          <cell r="D168" t="str">
            <v>LUANA SANTOS FURMANEK</v>
          </cell>
          <cell r="E168">
            <v>5452</v>
          </cell>
          <cell r="F168" t="str">
            <v>CRISTIANE CARVALHO GEBELATTO</v>
          </cell>
          <cell r="G168">
            <v>44213</v>
          </cell>
          <cell r="H168" t="str">
            <v>FERNANDO TORRES, Nº 3 LOJA 3</v>
          </cell>
          <cell r="I168" t="str">
            <v>ITAPUÃ</v>
          </cell>
          <cell r="J168" t="str">
            <v>41635-470</v>
          </cell>
          <cell r="K168">
            <v>1002</v>
          </cell>
          <cell r="L168" t="str">
            <v>BA</v>
          </cell>
          <cell r="M168" t="str">
            <v>7140404994</v>
          </cell>
          <cell r="N168">
            <v>828</v>
          </cell>
          <cell r="O168" t="str">
            <v>7140404994</v>
          </cell>
          <cell r="P168" t="str">
            <v>loja7748@factalojas.com.br</v>
          </cell>
          <cell r="Q168" t="str">
            <v>loja7748@factalojas.com.br</v>
          </cell>
          <cell r="S168" t="str">
            <v>cristiane.nunes@facta.com.br</v>
          </cell>
          <cell r="T168" t="str">
            <v>7748</v>
          </cell>
          <cell r="U168" t="str">
            <v xml:space="preserve">_x000D_
</v>
          </cell>
          <cell r="W168" t="str">
            <v>A</v>
          </cell>
        </row>
        <row r="169">
          <cell r="A169">
            <v>9367</v>
          </cell>
          <cell r="B169" t="str">
            <v>LOJA CEARÁ - FORTALEZA</v>
          </cell>
          <cell r="E169">
            <v>0</v>
          </cell>
          <cell r="G169">
            <v>44213</v>
          </cell>
          <cell r="H169" t="str">
            <v>AV A Nº 1115, LOJA A</v>
          </cell>
          <cell r="I169" t="str">
            <v>CONJUNTO CEARÁ</v>
          </cell>
          <cell r="J169" t="str">
            <v>60533-310</v>
          </cell>
          <cell r="K169">
            <v>494</v>
          </cell>
          <cell r="L169" t="str">
            <v>CE</v>
          </cell>
          <cell r="M169" t="str">
            <v>00000000000</v>
          </cell>
          <cell r="N169">
            <v>0</v>
          </cell>
          <cell r="O169" t="str">
            <v>00000000000</v>
          </cell>
          <cell r="P169" t="str">
            <v>-</v>
          </cell>
          <cell r="Q169" t="str">
            <v>-</v>
          </cell>
          <cell r="S169" t="str">
            <v>-</v>
          </cell>
          <cell r="T169" t="str">
            <v>9367</v>
          </cell>
          <cell r="W169" t="str">
            <v>I</v>
          </cell>
        </row>
        <row r="170">
          <cell r="A170">
            <v>9368</v>
          </cell>
          <cell r="B170" t="str">
            <v>LOJA PARANGABA - CE</v>
          </cell>
          <cell r="C170">
            <v>9823</v>
          </cell>
          <cell r="D170" t="str">
            <v>BRENO ROCHA HONORATO DA SILVA</v>
          </cell>
          <cell r="E170">
            <v>5452</v>
          </cell>
          <cell r="F170" t="str">
            <v>CRISTIANE CARVALHO GEBELATTO</v>
          </cell>
          <cell r="G170">
            <v>44213</v>
          </cell>
          <cell r="H170" t="str">
            <v>CAIO PRADO 61, LOJA 6</v>
          </cell>
          <cell r="I170" t="str">
            <v>PARANGABA</v>
          </cell>
          <cell r="J170" t="str">
            <v>60720-040</v>
          </cell>
          <cell r="K170">
            <v>494</v>
          </cell>
          <cell r="L170" t="str">
            <v>CE</v>
          </cell>
          <cell r="M170" t="str">
            <v>8521807431</v>
          </cell>
          <cell r="N170">
            <v>833</v>
          </cell>
          <cell r="O170" t="str">
            <v>8521807431</v>
          </cell>
          <cell r="P170" t="str">
            <v>ruth.jorge@factalojas.com.br</v>
          </cell>
          <cell r="Q170" t="str">
            <v>breno.silva@facta.com.br</v>
          </cell>
          <cell r="S170" t="str">
            <v>loja9368@factalojas.com.br</v>
          </cell>
          <cell r="T170" t="str">
            <v>9368</v>
          </cell>
          <cell r="U170" t="str">
            <v/>
          </cell>
          <cell r="W170" t="str">
            <v>A</v>
          </cell>
        </row>
        <row r="171">
          <cell r="A171">
            <v>9369</v>
          </cell>
          <cell r="B171" t="str">
            <v>LOJA SAO GERARDO - FORTALEZA</v>
          </cell>
          <cell r="C171">
            <v>9823</v>
          </cell>
          <cell r="D171" t="str">
            <v>BRENO ROCHA HONORATO DA SILVA</v>
          </cell>
          <cell r="E171">
            <v>5452</v>
          </cell>
          <cell r="F171" t="str">
            <v>CRISTIANE CARVALHO GEBELATTO</v>
          </cell>
          <cell r="G171">
            <v>44213</v>
          </cell>
          <cell r="H171" t="str">
            <v>AV BEZERRA DE MENEZES, Nº 2152</v>
          </cell>
          <cell r="I171" t="str">
            <v>SÃO GERARDO</v>
          </cell>
          <cell r="J171" t="str">
            <v>60325-901</v>
          </cell>
          <cell r="K171">
            <v>494</v>
          </cell>
          <cell r="L171" t="str">
            <v>CE</v>
          </cell>
          <cell r="M171" t="str">
            <v>5198683847</v>
          </cell>
          <cell r="N171">
            <v>836</v>
          </cell>
          <cell r="O171" t="str">
            <v>5198683847</v>
          </cell>
          <cell r="P171" t="str">
            <v>ana.picolli@facta.com.br</v>
          </cell>
          <cell r="Q171" t="str">
            <v>loja9369@facta.com.br</v>
          </cell>
          <cell r="S171" t="str">
            <v>loja9369@facta.com.br</v>
          </cell>
          <cell r="T171" t="str">
            <v>9369</v>
          </cell>
          <cell r="U171" t="str">
            <v>05/04/23 - Inativ 3852740.</v>
          </cell>
          <cell r="W171" t="str">
            <v>I</v>
          </cell>
        </row>
        <row r="172">
          <cell r="A172">
            <v>9370</v>
          </cell>
          <cell r="B172" t="str">
            <v>LOJA MESSEJANA - CE</v>
          </cell>
          <cell r="C172">
            <v>9823</v>
          </cell>
          <cell r="D172" t="str">
            <v>BRENO ROCHA HONORATO DA SILVA</v>
          </cell>
          <cell r="E172">
            <v>5452</v>
          </cell>
          <cell r="F172" t="str">
            <v>CRISTIANE CARVALHO GEBELATTO</v>
          </cell>
          <cell r="G172">
            <v>44213</v>
          </cell>
          <cell r="H172" t="str">
            <v>CEL FRANCISCO PEREIRA,400, LOJA G</v>
          </cell>
          <cell r="I172" t="str">
            <v>MESSEJANA</v>
          </cell>
          <cell r="J172" t="str">
            <v>60840-290</v>
          </cell>
          <cell r="K172">
            <v>494</v>
          </cell>
          <cell r="L172" t="str">
            <v>CE</v>
          </cell>
          <cell r="M172" t="str">
            <v>8521806097</v>
          </cell>
          <cell r="N172">
            <v>839</v>
          </cell>
          <cell r="O172" t="str">
            <v>8521806097</v>
          </cell>
          <cell r="P172" t="str">
            <v>breno.silva@facta.com.br;deusislene.moreira@factalojas.com.br</v>
          </cell>
          <cell r="Q172" t="str">
            <v>breno.silva@facta.com.br</v>
          </cell>
          <cell r="S172" t="str">
            <v>loja9370@factalojas.com.br</v>
          </cell>
          <cell r="T172" t="str">
            <v>9370</v>
          </cell>
          <cell r="U172" t="str">
            <v xml:space="preserve">_x000D_
</v>
          </cell>
          <cell r="W172" t="str">
            <v>A</v>
          </cell>
        </row>
        <row r="173">
          <cell r="A173">
            <v>12573</v>
          </cell>
          <cell r="B173" t="str">
            <v>LOJA CAMPO GRANDE - 13 MAIO - MS</v>
          </cell>
          <cell r="E173">
            <v>0</v>
          </cell>
          <cell r="G173">
            <v>44213</v>
          </cell>
          <cell r="H173" t="str">
            <v>13 DE MAIO, Nº 2892, TÉRREO</v>
          </cell>
          <cell r="I173" t="str">
            <v>CENTRO</v>
          </cell>
          <cell r="J173" t="str">
            <v>79002-356</v>
          </cell>
          <cell r="K173">
            <v>1167</v>
          </cell>
          <cell r="L173" t="str">
            <v>MS</v>
          </cell>
          <cell r="M173" t="str">
            <v>00000000000</v>
          </cell>
          <cell r="N173">
            <v>0</v>
          </cell>
          <cell r="O173" t="str">
            <v>00000000000</v>
          </cell>
          <cell r="P173" t="str">
            <v>-</v>
          </cell>
          <cell r="Q173" t="str">
            <v>-</v>
          </cell>
          <cell r="S173" t="str">
            <v>-</v>
          </cell>
          <cell r="T173" t="str">
            <v>12573</v>
          </cell>
          <cell r="U173" t="str">
            <v>INATIVAÇÃO DEVIDO A CÓD CRIADO EM DUPLICIDADE 2746125</v>
          </cell>
          <cell r="W173" t="str">
            <v>I</v>
          </cell>
        </row>
        <row r="174">
          <cell r="A174">
            <v>15400</v>
          </cell>
          <cell r="B174" t="str">
            <v>LOJA APARECIDA DE GOIANIA 2 - GO</v>
          </cell>
          <cell r="C174">
            <v>0</v>
          </cell>
          <cell r="E174">
            <v>0</v>
          </cell>
          <cell r="G174">
            <v>44213</v>
          </cell>
          <cell r="H174" t="str">
            <v>ABRAÃO LOURENÇO DE CARVALHO QD 23 LOTE 11,SALA1E4</v>
          </cell>
          <cell r="I174" t="str">
            <v>SETOR CENTRAL</v>
          </cell>
          <cell r="J174" t="str">
            <v>74980-020</v>
          </cell>
          <cell r="K174">
            <v>2027</v>
          </cell>
          <cell r="L174" t="str">
            <v>GO</v>
          </cell>
          <cell r="M174" t="str">
            <v>6236021567</v>
          </cell>
          <cell r="N174">
            <v>823</v>
          </cell>
          <cell r="O174" t="str">
            <v>6236021567</v>
          </cell>
          <cell r="P174" t="str">
            <v>poliana.silva@facta.com.br</v>
          </cell>
          <cell r="Q174" t="str">
            <v>gabriel.martins@facta.com.br</v>
          </cell>
          <cell r="S174" t="str">
            <v>gabriel.martins@facta.com.br</v>
          </cell>
          <cell r="T174" t="str">
            <v>15400</v>
          </cell>
          <cell r="U174" t="str">
            <v>020.780.681-01_x000D_
_x000D_
_x000D_
06/06/24 - Inativado conforme email do Apoio. (em anexo)</v>
          </cell>
          <cell r="W174" t="str">
            <v>I</v>
          </cell>
        </row>
        <row r="175">
          <cell r="A175">
            <v>18936</v>
          </cell>
          <cell r="B175" t="str">
            <v>LOJA BAYEUX - PB</v>
          </cell>
          <cell r="C175">
            <v>9798</v>
          </cell>
          <cell r="D175" t="str">
            <v>WHANDERSON MATHEUS ARAUJO DA COSTA</v>
          </cell>
          <cell r="E175">
            <v>5452</v>
          </cell>
          <cell r="F175" t="str">
            <v>CRISTIANE CARVALHO GEBELATTO</v>
          </cell>
          <cell r="G175">
            <v>44213</v>
          </cell>
          <cell r="H175" t="str">
            <v>AVENIDA LIBERDADE 3379</v>
          </cell>
          <cell r="I175" t="str">
            <v>CENTRO</v>
          </cell>
          <cell r="J175" t="str">
            <v>58110-160</v>
          </cell>
          <cell r="K175">
            <v>29099</v>
          </cell>
          <cell r="L175" t="str">
            <v>PB</v>
          </cell>
          <cell r="M175" t="str">
            <v>8331420927</v>
          </cell>
          <cell r="N175">
            <v>824</v>
          </cell>
          <cell r="O175" t="str">
            <v>8331420927</v>
          </cell>
          <cell r="P175" t="str">
            <v>dayane.chaves@factalojas.com.br</v>
          </cell>
          <cell r="Q175" t="str">
            <v>loja18936@factalojas.com.br</v>
          </cell>
          <cell r="S175" t="str">
            <v>loja18936@factalojas.com.br</v>
          </cell>
          <cell r="T175" t="str">
            <v>18936</v>
          </cell>
          <cell r="U175" t="str">
            <v xml:space="preserve">_x000D_
</v>
          </cell>
          <cell r="W175" t="str">
            <v>A</v>
          </cell>
        </row>
        <row r="176">
          <cell r="A176">
            <v>31373</v>
          </cell>
          <cell r="B176" t="str">
            <v>LOJA CAMPO MOURAO - PR</v>
          </cell>
          <cell r="C176">
            <v>5897</v>
          </cell>
          <cell r="D176" t="str">
            <v>THAINARA DO CARMO SANTOS</v>
          </cell>
          <cell r="E176">
            <v>3826</v>
          </cell>
          <cell r="F176" t="str">
            <v>CINARA REGINA KEMERICH</v>
          </cell>
          <cell r="G176">
            <v>44213</v>
          </cell>
          <cell r="H176" t="str">
            <v>AV. IRMÃOS PEREIRA Nº 1631 SALA COMERCIAL</v>
          </cell>
          <cell r="I176" t="str">
            <v>CENTRO</v>
          </cell>
          <cell r="J176" t="str">
            <v>87301-010</v>
          </cell>
          <cell r="K176">
            <v>1414</v>
          </cell>
          <cell r="L176" t="str">
            <v>PR</v>
          </cell>
          <cell r="M176" t="str">
            <v>4430168876</v>
          </cell>
          <cell r="N176">
            <v>838</v>
          </cell>
          <cell r="O176" t="str">
            <v>4430168876</v>
          </cell>
          <cell r="P176" t="str">
            <v>danielli.neves@factalojas.com.br</v>
          </cell>
          <cell r="Q176" t="str">
            <v>thainara.santos@facta.com.br</v>
          </cell>
          <cell r="S176" t="str">
            <v>loja31373@factalojas.com.br</v>
          </cell>
          <cell r="T176" t="str">
            <v>31373</v>
          </cell>
          <cell r="U176" t="str">
            <v/>
          </cell>
          <cell r="W176" t="str">
            <v>A</v>
          </cell>
        </row>
        <row r="177">
          <cell r="A177">
            <v>54463</v>
          </cell>
          <cell r="B177" t="str">
            <v>LOJA BAURU 2 - SP</v>
          </cell>
          <cell r="E177">
            <v>0</v>
          </cell>
          <cell r="G177">
            <v>44213</v>
          </cell>
          <cell r="H177" t="str">
            <v>13 DE MAIO, Nº28</v>
          </cell>
          <cell r="I177" t="str">
            <v>CENTRO</v>
          </cell>
          <cell r="J177" t="str">
            <v>17015-270</v>
          </cell>
          <cell r="K177">
            <v>1285</v>
          </cell>
          <cell r="L177" t="str">
            <v>SP</v>
          </cell>
          <cell r="M177" t="str">
            <v>00000000000</v>
          </cell>
          <cell r="N177">
            <v>0</v>
          </cell>
          <cell r="O177" t="str">
            <v>00000000000</v>
          </cell>
          <cell r="P177" t="str">
            <v>-</v>
          </cell>
          <cell r="Q177" t="str">
            <v>-</v>
          </cell>
          <cell r="S177" t="str">
            <v>-</v>
          </cell>
          <cell r="T177" t="str">
            <v>54463</v>
          </cell>
          <cell r="U177" t="str">
            <v>INATIVAÇÃO DEVIDO A CÓD CRIADO EM DUPLICIDADE 2746125</v>
          </cell>
          <cell r="W177" t="str">
            <v>I</v>
          </cell>
        </row>
        <row r="178">
          <cell r="A178">
            <v>54464</v>
          </cell>
          <cell r="B178" t="str">
            <v>LOJA JAU - SP</v>
          </cell>
          <cell r="C178">
            <v>8976</v>
          </cell>
          <cell r="D178" t="str">
            <v>ANDREY COSTA DA ROCHA</v>
          </cell>
          <cell r="E178">
            <v>3826</v>
          </cell>
          <cell r="F178" t="str">
            <v>CINARA REGINA KEMERICH</v>
          </cell>
          <cell r="G178">
            <v>44213</v>
          </cell>
          <cell r="H178" t="str">
            <v xml:space="preserve">LOURENÇO PRADO, Nº 236 </v>
          </cell>
          <cell r="I178" t="str">
            <v>CENTRO</v>
          </cell>
          <cell r="J178" t="str">
            <v>17201-000</v>
          </cell>
          <cell r="K178">
            <v>25864</v>
          </cell>
          <cell r="L178" t="str">
            <v>SP</v>
          </cell>
          <cell r="M178" t="str">
            <v>1431410686</v>
          </cell>
          <cell r="N178">
            <v>829</v>
          </cell>
          <cell r="O178" t="str">
            <v>1431410686</v>
          </cell>
          <cell r="P178" t="str">
            <v>sandra.mc.jau@hotmail.com.br</v>
          </cell>
          <cell r="Q178" t="str">
            <v>lidia.xavier@factalojas.com.br</v>
          </cell>
          <cell r="S178" t="str">
            <v>loja54464@factalojas.com.br</v>
          </cell>
          <cell r="T178" t="str">
            <v>54464</v>
          </cell>
          <cell r="U178" t="str">
            <v/>
          </cell>
          <cell r="W178" t="str">
            <v>A</v>
          </cell>
        </row>
        <row r="179">
          <cell r="A179">
            <v>54465</v>
          </cell>
          <cell r="B179" t="str">
            <v>LOJA LIMEIRA - SP</v>
          </cell>
          <cell r="C179">
            <v>10518</v>
          </cell>
          <cell r="D179" t="str">
            <v>THAINA MARCHI CONEJO</v>
          </cell>
          <cell r="E179">
            <v>3826</v>
          </cell>
          <cell r="F179" t="str">
            <v>CINARA REGINA KEMERICH</v>
          </cell>
          <cell r="G179">
            <v>44213</v>
          </cell>
          <cell r="H179" t="str">
            <v>Rua 04, 1143</v>
          </cell>
          <cell r="I179" t="str">
            <v>CENTRO</v>
          </cell>
          <cell r="J179" t="str">
            <v>13500-171</v>
          </cell>
          <cell r="K179">
            <v>25464</v>
          </cell>
          <cell r="L179" t="str">
            <v>SP</v>
          </cell>
          <cell r="M179" t="str">
            <v>1935139608</v>
          </cell>
          <cell r="N179">
            <v>830</v>
          </cell>
          <cell r="O179" t="str">
            <v>1935139608</v>
          </cell>
          <cell r="P179" t="str">
            <v>larissa.miranda@factalojas.com.br</v>
          </cell>
          <cell r="Q179" t="str">
            <v>larissa.miranda@factalojas.com.br</v>
          </cell>
          <cell r="S179" t="str">
            <v>loja54465@factalojas.com.br</v>
          </cell>
          <cell r="T179" t="str">
            <v>54465</v>
          </cell>
          <cell r="U179" t="str">
            <v xml:space="preserve">_x000D_
</v>
          </cell>
          <cell r="W179" t="str">
            <v>A</v>
          </cell>
        </row>
        <row r="180">
          <cell r="A180">
            <v>54466</v>
          </cell>
          <cell r="B180" t="str">
            <v>LOJA MARILIA - SP</v>
          </cell>
          <cell r="C180">
            <v>8976</v>
          </cell>
          <cell r="D180" t="str">
            <v>ANDREY COSTA DA ROCHA</v>
          </cell>
          <cell r="E180">
            <v>3826</v>
          </cell>
          <cell r="F180" t="str">
            <v>CINARA REGINA KEMERICH</v>
          </cell>
          <cell r="G180">
            <v>44213</v>
          </cell>
          <cell r="H180" t="str">
            <v>AV SAMPAIO VIDAL, Nº 851</v>
          </cell>
          <cell r="I180" t="str">
            <v>CENTRO</v>
          </cell>
          <cell r="J180" t="str">
            <v>17525-040</v>
          </cell>
          <cell r="K180">
            <v>25897</v>
          </cell>
          <cell r="L180" t="str">
            <v>SP</v>
          </cell>
          <cell r="M180" t="str">
            <v>1433331750</v>
          </cell>
          <cell r="N180">
            <v>831</v>
          </cell>
          <cell r="O180" t="str">
            <v>1433331750</v>
          </cell>
          <cell r="P180" t="str">
            <v>rafael.navarro@factalojas.com.br</v>
          </cell>
          <cell r="Q180" t="str">
            <v>leonardo.crispim@factalojas.com.br</v>
          </cell>
          <cell r="S180" t="str">
            <v>loja54466@factalojas.com.br;leonardo.crispim@factalojas.com.br</v>
          </cell>
          <cell r="T180" t="str">
            <v>54466</v>
          </cell>
          <cell r="U180" t="str">
            <v/>
          </cell>
          <cell r="W180" t="str">
            <v>A</v>
          </cell>
        </row>
        <row r="181">
          <cell r="A181">
            <v>54467</v>
          </cell>
          <cell r="B181" t="str">
            <v>LOJA RIO CLARO - SP</v>
          </cell>
          <cell r="C181">
            <v>10518</v>
          </cell>
          <cell r="D181" t="str">
            <v>THAINA MARCHI CONEJO</v>
          </cell>
          <cell r="E181">
            <v>3826</v>
          </cell>
          <cell r="F181" t="str">
            <v>CINARA REGINA KEMERICH</v>
          </cell>
          <cell r="G181">
            <v>44213</v>
          </cell>
          <cell r="H181" t="str">
            <v>Rua 04, 1143</v>
          </cell>
          <cell r="I181" t="str">
            <v>CENTRO</v>
          </cell>
          <cell r="J181" t="str">
            <v>13500-170</v>
          </cell>
          <cell r="K181">
            <v>25464</v>
          </cell>
          <cell r="L181" t="str">
            <v>SP</v>
          </cell>
          <cell r="M181" t="str">
            <v>1935139608</v>
          </cell>
          <cell r="N181">
            <v>835</v>
          </cell>
          <cell r="O181" t="str">
            <v>1935139608</v>
          </cell>
          <cell r="P181" t="str">
            <v>larissa.miranda@factalojas.com.br</v>
          </cell>
          <cell r="Q181" t="str">
            <v>thaina.conejo@factalojas.com.br</v>
          </cell>
          <cell r="S181" t="str">
            <v>thaina.conejo@factalojas.com.br</v>
          </cell>
          <cell r="T181" t="str">
            <v>54467</v>
          </cell>
          <cell r="U181" t="str">
            <v xml:space="preserve">44989530888_x000D_
499346828_x000D_
08/10/1997_x000D_
</v>
          </cell>
          <cell r="W181" t="str">
            <v>A</v>
          </cell>
        </row>
        <row r="182">
          <cell r="A182">
            <v>54468</v>
          </cell>
          <cell r="B182" t="str">
            <v>LOJA SAO CARLOS - SP</v>
          </cell>
          <cell r="C182">
            <v>10518</v>
          </cell>
          <cell r="D182" t="str">
            <v>THAINA MARCHI CONEJO</v>
          </cell>
          <cell r="E182">
            <v>3826</v>
          </cell>
          <cell r="F182" t="str">
            <v>CINARA REGINA KEMERICH</v>
          </cell>
          <cell r="G182">
            <v>44213</v>
          </cell>
          <cell r="H182" t="str">
            <v>AV SÃO CARLOS, Nº 1175</v>
          </cell>
          <cell r="I182" t="str">
            <v>CENTRO</v>
          </cell>
          <cell r="J182" t="str">
            <v>13560-010</v>
          </cell>
          <cell r="K182">
            <v>3679</v>
          </cell>
          <cell r="L182" t="str">
            <v>SP</v>
          </cell>
          <cell r="M182" t="str">
            <v>1635095938</v>
          </cell>
          <cell r="N182">
            <v>837</v>
          </cell>
          <cell r="O182" t="str">
            <v>1635095938</v>
          </cell>
          <cell r="P182" t="str">
            <v>bruna.pinheiro@factalojas.com.br</v>
          </cell>
          <cell r="Q182" t="str">
            <v>bruna.pinheiro@factalojas.com.br;loja54468@factalojas.com.br</v>
          </cell>
          <cell r="S182" t="str">
            <v>bruna.pinheiro@factalojas.com.br</v>
          </cell>
          <cell r="T182" t="str">
            <v>54468</v>
          </cell>
          <cell r="U182" t="str">
            <v xml:space="preserve">_x000D_
</v>
          </cell>
          <cell r="W182" t="str">
            <v>A</v>
          </cell>
        </row>
        <row r="183">
          <cell r="A183">
            <v>54469</v>
          </cell>
          <cell r="B183" t="str">
            <v>LOJA CAMPINAS - BARAO GERALDO - SP</v>
          </cell>
          <cell r="G183">
            <v>44213</v>
          </cell>
          <cell r="H183" t="str">
            <v>Rua Horácio Leonardi 92</v>
          </cell>
          <cell r="I183" t="str">
            <v>BARÃO GERALDO</v>
          </cell>
          <cell r="J183" t="str">
            <v>13084-105</v>
          </cell>
          <cell r="K183">
            <v>1257</v>
          </cell>
          <cell r="L183" t="str">
            <v>SP</v>
          </cell>
          <cell r="M183" t="str">
            <v>1931146086</v>
          </cell>
          <cell r="N183">
            <v>483</v>
          </cell>
          <cell r="O183" t="str">
            <v>1931146086</v>
          </cell>
          <cell r="P183" t="str">
            <v>nathalia.santos@factalojas.com.br</v>
          </cell>
          <cell r="Q183" t="str">
            <v>hevelins.silva@facta.com.br;samara.fornazario@factalojas.com.br</v>
          </cell>
          <cell r="S183" t="str">
            <v>loja54469@factalojas.com.br;hevelins.silva@facta.com.br</v>
          </cell>
          <cell r="T183" t="str">
            <v>54469</v>
          </cell>
          <cell r="U183" t="str">
            <v>Loja encerrada.</v>
          </cell>
          <cell r="W183" t="str">
            <v>I</v>
          </cell>
        </row>
        <row r="184">
          <cell r="A184">
            <v>54470</v>
          </cell>
          <cell r="B184" t="str">
            <v>LOJA CAMPINAS - TAQUARAL - SP</v>
          </cell>
          <cell r="E184">
            <v>7035</v>
          </cell>
          <cell r="F184" t="str">
            <v>BIANCA MAIOCCHI PEDROSO</v>
          </cell>
          <cell r="G184">
            <v>44213</v>
          </cell>
          <cell r="H184" t="str">
            <v>AV DR ARMANDO SÁLES DE OLIVEIRA, Nº 65</v>
          </cell>
          <cell r="I184" t="str">
            <v>TAQUARAL</v>
          </cell>
          <cell r="J184" t="str">
            <v>13076-015</v>
          </cell>
          <cell r="K184">
            <v>1257</v>
          </cell>
          <cell r="L184" t="str">
            <v>SP</v>
          </cell>
          <cell r="M184" t="str">
            <v>00000000000</v>
          </cell>
          <cell r="N184">
            <v>0</v>
          </cell>
          <cell r="O184" t="str">
            <v>00000000000</v>
          </cell>
          <cell r="P184" t="str">
            <v>-</v>
          </cell>
          <cell r="Q184" t="str">
            <v>-</v>
          </cell>
          <cell r="S184" t="str">
            <v>-</v>
          </cell>
          <cell r="T184" t="str">
            <v>54470</v>
          </cell>
          <cell r="W184" t="str">
            <v>I</v>
          </cell>
        </row>
        <row r="185">
          <cell r="A185">
            <v>54471</v>
          </cell>
          <cell r="B185" t="str">
            <v>LOJA OURINHOS - SP</v>
          </cell>
          <cell r="C185">
            <v>8976</v>
          </cell>
          <cell r="D185" t="str">
            <v>ANDREY COSTA DA ROCHA</v>
          </cell>
          <cell r="E185">
            <v>3826</v>
          </cell>
          <cell r="F185" t="str">
            <v>CINARA REGINA KEMERICH</v>
          </cell>
          <cell r="G185">
            <v>44213</v>
          </cell>
          <cell r="H185" t="str">
            <v>RUA DR. ALTINO ARANTES , 180</v>
          </cell>
          <cell r="I185" t="str">
            <v>CENTRO</v>
          </cell>
          <cell r="J185" t="str">
            <v>19900-030</v>
          </cell>
          <cell r="K185">
            <v>449</v>
          </cell>
          <cell r="L185" t="str">
            <v>SP</v>
          </cell>
          <cell r="M185" t="str">
            <v>1433331288</v>
          </cell>
          <cell r="N185">
            <v>832</v>
          </cell>
          <cell r="O185" t="str">
            <v>1433331288</v>
          </cell>
          <cell r="P185" t="str">
            <v>ana.damacena@factalojas.com.br</v>
          </cell>
          <cell r="Q185" t="str">
            <v>andrey.rocha@facta.com.br</v>
          </cell>
          <cell r="S185" t="str">
            <v>andrey.rocha@facta.com.br;loja54471@factalojas.com.br</v>
          </cell>
          <cell r="T185" t="str">
            <v>54471</v>
          </cell>
          <cell r="U185" t="str">
            <v/>
          </cell>
          <cell r="W185" t="str">
            <v>A</v>
          </cell>
        </row>
        <row r="186">
          <cell r="A186">
            <v>54472</v>
          </cell>
          <cell r="B186" t="str">
            <v>LOJA CAMPINAS - OURO VERDE - SP</v>
          </cell>
          <cell r="E186">
            <v>7035</v>
          </cell>
          <cell r="F186" t="str">
            <v>BIANCA MAIOCCHI PEDROSO</v>
          </cell>
          <cell r="G186">
            <v>44213</v>
          </cell>
          <cell r="H186" t="str">
            <v>ARMANDO FREDERICO RENGANESCHI, Nº 246</v>
          </cell>
          <cell r="I186" t="str">
            <v>JARDIM CRISTINA</v>
          </cell>
          <cell r="J186" t="str">
            <v>13054-000</v>
          </cell>
          <cell r="K186">
            <v>1257</v>
          </cell>
          <cell r="L186" t="str">
            <v>SP</v>
          </cell>
          <cell r="M186" t="str">
            <v>00000000000</v>
          </cell>
          <cell r="N186">
            <v>0</v>
          </cell>
          <cell r="O186" t="str">
            <v>00000000000</v>
          </cell>
          <cell r="P186" t="str">
            <v>-</v>
          </cell>
          <cell r="Q186" t="str">
            <v>-</v>
          </cell>
          <cell r="S186" t="str">
            <v>-</v>
          </cell>
          <cell r="T186" t="str">
            <v>54472</v>
          </cell>
          <cell r="W186" t="str">
            <v>I</v>
          </cell>
        </row>
        <row r="187">
          <cell r="A187">
            <v>54473</v>
          </cell>
          <cell r="B187" t="str">
            <v>LOJA CAMPINAS - INDAIATUBA - SP</v>
          </cell>
          <cell r="E187">
            <v>7035</v>
          </cell>
          <cell r="F187" t="str">
            <v>BIANCA MAIOCCHI PEDROSO</v>
          </cell>
          <cell r="G187">
            <v>44213</v>
          </cell>
          <cell r="H187" t="str">
            <v>EM PROSPECÇÃO</v>
          </cell>
          <cell r="I187" t="str">
            <v>EM PROSPECÇÃO</v>
          </cell>
          <cell r="J187" t="str">
            <v>00000-000</v>
          </cell>
          <cell r="K187">
            <v>1257</v>
          </cell>
          <cell r="L187" t="str">
            <v>SP</v>
          </cell>
          <cell r="M187" t="str">
            <v>00000000000</v>
          </cell>
          <cell r="N187">
            <v>0</v>
          </cell>
          <cell r="O187" t="str">
            <v>00000000000</v>
          </cell>
          <cell r="P187" t="str">
            <v>-</v>
          </cell>
          <cell r="Q187" t="str">
            <v>-</v>
          </cell>
          <cell r="S187" t="str">
            <v>-</v>
          </cell>
          <cell r="T187" t="str">
            <v>54473</v>
          </cell>
          <cell r="W187" t="str">
            <v>I</v>
          </cell>
        </row>
        <row r="188">
          <cell r="A188">
            <v>54474</v>
          </cell>
          <cell r="B188" t="str">
            <v>LOJA ITU</v>
          </cell>
          <cell r="E188">
            <v>7035</v>
          </cell>
          <cell r="F188" t="str">
            <v>BIANCA MAIOCCHI PEDROSO</v>
          </cell>
          <cell r="G188">
            <v>44213</v>
          </cell>
          <cell r="H188" t="str">
            <v>EM PROSPECÇÃO</v>
          </cell>
          <cell r="I188" t="str">
            <v>EM PROSPECÇÃO</v>
          </cell>
          <cell r="J188" t="str">
            <v>00000-000</v>
          </cell>
          <cell r="K188">
            <v>25438</v>
          </cell>
          <cell r="L188" t="str">
            <v>SP</v>
          </cell>
          <cell r="M188" t="str">
            <v>00000000000</v>
          </cell>
          <cell r="N188">
            <v>0</v>
          </cell>
          <cell r="O188" t="str">
            <v>00000000000</v>
          </cell>
          <cell r="P188" t="str">
            <v>loja54474@facta.com.br</v>
          </cell>
          <cell r="Q188" t="str">
            <v>loja54474@facta.com.br</v>
          </cell>
          <cell r="S188" t="str">
            <v>loja54474@facta.com.br</v>
          </cell>
          <cell r="T188" t="str">
            <v>54474</v>
          </cell>
          <cell r="W188" t="str">
            <v>I</v>
          </cell>
        </row>
        <row r="189">
          <cell r="A189">
            <v>54475</v>
          </cell>
          <cell r="B189" t="str">
            <v>LOJA SOROCABA - SP</v>
          </cell>
          <cell r="E189">
            <v>7035</v>
          </cell>
          <cell r="F189" t="str">
            <v>BIANCA MAIOCCHI PEDROSO</v>
          </cell>
          <cell r="G189">
            <v>44213</v>
          </cell>
          <cell r="H189" t="str">
            <v>EM PROSPECÇÃO</v>
          </cell>
          <cell r="I189" t="str">
            <v>EM PROSPECÇÃO</v>
          </cell>
          <cell r="J189" t="str">
            <v>00000-000</v>
          </cell>
          <cell r="K189">
            <v>25955</v>
          </cell>
          <cell r="L189" t="str">
            <v>SP</v>
          </cell>
          <cell r="M189" t="str">
            <v>00000000000</v>
          </cell>
          <cell r="N189">
            <v>279</v>
          </cell>
          <cell r="O189" t="str">
            <v>00000000000</v>
          </cell>
          <cell r="P189" t="str">
            <v>-</v>
          </cell>
          <cell r="Q189" t="str">
            <v>-</v>
          </cell>
          <cell r="S189" t="str">
            <v>-</v>
          </cell>
          <cell r="T189" t="str">
            <v>54475</v>
          </cell>
          <cell r="W189" t="str">
            <v>I</v>
          </cell>
        </row>
        <row r="190">
          <cell r="A190">
            <v>81006</v>
          </cell>
          <cell r="B190" t="str">
            <v>LOJA RECIFE - AFOGADOS - PE</v>
          </cell>
          <cell r="C190">
            <v>9798</v>
          </cell>
          <cell r="D190" t="str">
            <v>WHANDERSON MATHEUS ARAUJO DA COSTA</v>
          </cell>
          <cell r="E190">
            <v>5452</v>
          </cell>
          <cell r="F190" t="str">
            <v>CRISTIANE CARVALHO GEBELATTO</v>
          </cell>
          <cell r="G190">
            <v>44213</v>
          </cell>
          <cell r="H190" t="str">
            <v>DA PAZ, Nº 194</v>
          </cell>
          <cell r="I190" t="str">
            <v>AFOGADOS</v>
          </cell>
          <cell r="J190" t="str">
            <v>50770-000</v>
          </cell>
          <cell r="K190">
            <v>617</v>
          </cell>
          <cell r="L190" t="str">
            <v>PE</v>
          </cell>
          <cell r="M190" t="str">
            <v>8140404870</v>
          </cell>
          <cell r="N190">
            <v>822</v>
          </cell>
          <cell r="O190" t="str">
            <v>8140404870</v>
          </cell>
          <cell r="P190" t="str">
            <v>jeniffer.silva@factalojas.com.br</v>
          </cell>
          <cell r="Q190" t="str">
            <v>jeniffer.silva@factalojas.com.br</v>
          </cell>
          <cell r="S190" t="str">
            <v>loja81006@factalojas.com.br</v>
          </cell>
          <cell r="T190" t="str">
            <v>81006</v>
          </cell>
          <cell r="U190" t="str">
            <v/>
          </cell>
          <cell r="W190" t="str">
            <v>A</v>
          </cell>
        </row>
        <row r="191">
          <cell r="A191">
            <v>9366</v>
          </cell>
          <cell r="B191" t="str">
            <v>LOJA CONJ CEARA - FORTALEZA - CE</v>
          </cell>
          <cell r="C191">
            <v>9823</v>
          </cell>
          <cell r="D191" t="str">
            <v>BRENO ROCHA HONORATO DA SILVA</v>
          </cell>
          <cell r="E191">
            <v>5452</v>
          </cell>
          <cell r="F191" t="str">
            <v>CRISTIANE CARVALHO GEBELATTO</v>
          </cell>
          <cell r="G191">
            <v>44189</v>
          </cell>
          <cell r="H191" t="str">
            <v>AV. A, Nº 1115, LOJA A</v>
          </cell>
          <cell r="I191" t="str">
            <v>CONJUNTO CEARÁ</v>
          </cell>
          <cell r="J191" t="str">
            <v>60533-310</v>
          </cell>
          <cell r="K191">
            <v>494</v>
          </cell>
          <cell r="L191" t="str">
            <v>CE</v>
          </cell>
          <cell r="N191">
            <v>827</v>
          </cell>
          <cell r="P191" t="str">
            <v>breno.silva@facta.com.br</v>
          </cell>
          <cell r="Q191" t="str">
            <v>breno.silva@facta.com.br</v>
          </cell>
          <cell r="S191" t="str">
            <v>cristiane.nunes@facta.com.br</v>
          </cell>
          <cell r="T191" t="str">
            <v>9366</v>
          </cell>
          <cell r="U191" t="str">
            <v xml:space="preserve">_x000D_
</v>
          </cell>
          <cell r="W191" t="str">
            <v>A</v>
          </cell>
        </row>
        <row r="192">
          <cell r="A192">
            <v>54444</v>
          </cell>
          <cell r="B192" t="str">
            <v>LOJA PIRACICABA - SP</v>
          </cell>
          <cell r="C192">
            <v>10518</v>
          </cell>
          <cell r="D192" t="str">
            <v>THAINA MARCHI CONEJO</v>
          </cell>
          <cell r="E192">
            <v>3826</v>
          </cell>
          <cell r="F192" t="str">
            <v>CINARA REGINA KEMERICH</v>
          </cell>
          <cell r="G192">
            <v>44189</v>
          </cell>
          <cell r="H192" t="str">
            <v>PRAÇA JOSÉ BONIFÁCIO, 813</v>
          </cell>
          <cell r="I192" t="str">
            <v>CENTRO</v>
          </cell>
          <cell r="J192" t="str">
            <v>13400-340</v>
          </cell>
          <cell r="K192">
            <v>1170</v>
          </cell>
          <cell r="L192" t="str">
            <v>SP</v>
          </cell>
          <cell r="M192" t="str">
            <v>1933729575</v>
          </cell>
          <cell r="N192">
            <v>834</v>
          </cell>
          <cell r="O192" t="str">
            <v>1933729575</v>
          </cell>
          <cell r="P192" t="str">
            <v>rosemeire.neves@factalojas.com.br</v>
          </cell>
          <cell r="Q192" t="str">
            <v>bruna.alves@facta.com.br</v>
          </cell>
          <cell r="S192" t="str">
            <v>loja54444@factalojas.com.br</v>
          </cell>
          <cell r="T192" t="str">
            <v>54444</v>
          </cell>
          <cell r="U192" t="str">
            <v/>
          </cell>
          <cell r="W192" t="str">
            <v>A</v>
          </cell>
        </row>
        <row r="193">
          <cell r="A193">
            <v>11303</v>
          </cell>
          <cell r="B193" t="str">
            <v>LOJA CARIACICA - ES</v>
          </cell>
          <cell r="C193">
            <v>3467</v>
          </cell>
          <cell r="D193" t="str">
            <v>GISELLE MORAES SCHNEIDER</v>
          </cell>
          <cell r="E193">
            <v>6621</v>
          </cell>
          <cell r="F193" t="str">
            <v>THAYSA SANDIM DE SOUZA</v>
          </cell>
          <cell r="G193">
            <v>44127</v>
          </cell>
          <cell r="H193" t="str">
            <v>AV EXPEDITO GARCIA 210/475 COM 02, PAV BL 01</v>
          </cell>
          <cell r="I193" t="str">
            <v>CAMPO GRANDE</v>
          </cell>
          <cell r="J193" t="str">
            <v>29146-200</v>
          </cell>
          <cell r="K193">
            <v>2341</v>
          </cell>
          <cell r="L193" t="str">
            <v>ES</v>
          </cell>
          <cell r="M193" t="str">
            <v>2740404120</v>
          </cell>
          <cell r="N193">
            <v>815</v>
          </cell>
          <cell r="O193" t="str">
            <v>2740404120</v>
          </cell>
          <cell r="P193" t="str">
            <v>andreia.lacerda@factalojas.com.br</v>
          </cell>
          <cell r="Q193" t="str">
            <v>loja11303@factalojas.com.br</v>
          </cell>
          <cell r="S193" t="str">
            <v>andreia.lacerda@factalojas.com.br</v>
          </cell>
          <cell r="T193" t="str">
            <v>11303</v>
          </cell>
          <cell r="U193" t="str">
            <v>10856076740</v>
          </cell>
          <cell r="W193" t="str">
            <v>A</v>
          </cell>
        </row>
        <row r="194">
          <cell r="A194">
            <v>11304</v>
          </cell>
          <cell r="B194" t="str">
            <v>LOJA GUARAPARI - ES</v>
          </cell>
          <cell r="C194">
            <v>3467</v>
          </cell>
          <cell r="D194" t="str">
            <v>GISELLE MORAES SCHNEIDER</v>
          </cell>
          <cell r="E194">
            <v>6621</v>
          </cell>
          <cell r="F194" t="str">
            <v>THAYSA SANDIM DE SOUZA</v>
          </cell>
          <cell r="G194">
            <v>44127</v>
          </cell>
          <cell r="H194" t="str">
            <v>RUA CUSTÓDIO GONÇALVES SANTOS 232</v>
          </cell>
          <cell r="I194" t="str">
            <v>CENTRO</v>
          </cell>
          <cell r="J194" t="str">
            <v>29200-280</v>
          </cell>
          <cell r="K194">
            <v>2425</v>
          </cell>
          <cell r="L194" t="str">
            <v>ES</v>
          </cell>
          <cell r="M194" t="str">
            <v>2740404111</v>
          </cell>
          <cell r="N194">
            <v>816</v>
          </cell>
          <cell r="O194" t="str">
            <v>2740404111</v>
          </cell>
          <cell r="P194" t="str">
            <v>debora.lira@factalojas.com.br</v>
          </cell>
          <cell r="Q194" t="str">
            <v>loja11304@factalojas.com.br</v>
          </cell>
          <cell r="S194" t="str">
            <v>loja11304@factalojas.com.br</v>
          </cell>
          <cell r="T194" t="str">
            <v>11304</v>
          </cell>
          <cell r="U194" t="str">
            <v/>
          </cell>
          <cell r="W194" t="str">
            <v>A</v>
          </cell>
        </row>
        <row r="195">
          <cell r="A195">
            <v>9362</v>
          </cell>
          <cell r="B195" t="str">
            <v>LOJA LINHARES - ES</v>
          </cell>
          <cell r="C195">
            <v>3467</v>
          </cell>
          <cell r="D195" t="str">
            <v>GISELLE MORAES SCHNEIDER</v>
          </cell>
          <cell r="E195">
            <v>6621</v>
          </cell>
          <cell r="F195" t="str">
            <v>THAYSA SANDIM DE SOUZA</v>
          </cell>
          <cell r="G195">
            <v>44113</v>
          </cell>
          <cell r="H195" t="str">
            <v>CAPITÃO JOSÉ MARIA, Nº 1.031, LOJA 02</v>
          </cell>
          <cell r="I195" t="str">
            <v>CENTRO</v>
          </cell>
          <cell r="J195" t="str">
            <v>29900-171</v>
          </cell>
          <cell r="K195">
            <v>2343</v>
          </cell>
          <cell r="L195" t="str">
            <v>ES</v>
          </cell>
          <cell r="M195" t="str">
            <v>2731509019</v>
          </cell>
          <cell r="N195">
            <v>812</v>
          </cell>
          <cell r="O195" t="str">
            <v>2731509019</v>
          </cell>
          <cell r="P195" t="str">
            <v>vaneiva.vieira@factalojas.com.br</v>
          </cell>
          <cell r="Q195" t="str">
            <v>vaneiva.vieira@factalojas.com.br</v>
          </cell>
          <cell r="S195" t="str">
            <v>giselle.schneider@facta.com.br</v>
          </cell>
          <cell r="T195" t="str">
            <v>9362</v>
          </cell>
          <cell r="U195" t="str">
            <v/>
          </cell>
          <cell r="W195" t="str">
            <v>A</v>
          </cell>
        </row>
        <row r="196">
          <cell r="A196">
            <v>20085</v>
          </cell>
          <cell r="B196" t="str">
            <v>LOJA TERESINA 2 - PI</v>
          </cell>
          <cell r="C196">
            <v>5313</v>
          </cell>
          <cell r="D196" t="str">
            <v>LUCIANE DA SILVA FONSECA PINHEIRO</v>
          </cell>
          <cell r="E196">
            <v>3026</v>
          </cell>
          <cell r="F196" t="str">
            <v>MAYARA NOVAIS LOPES</v>
          </cell>
          <cell r="G196">
            <v>44112</v>
          </cell>
          <cell r="H196" t="str">
            <v>BARROSO, Nº 151</v>
          </cell>
          <cell r="I196" t="str">
            <v>CENTRO</v>
          </cell>
          <cell r="J196" t="str">
            <v>64000-130</v>
          </cell>
          <cell r="K196">
            <v>24444</v>
          </cell>
          <cell r="L196" t="str">
            <v>PI</v>
          </cell>
          <cell r="M196" t="str">
            <v>8631421138</v>
          </cell>
          <cell r="N196">
            <v>817</v>
          </cell>
          <cell r="O196" t="str">
            <v>8631421138</v>
          </cell>
          <cell r="P196" t="str">
            <v>marciele.vieira@factalojas.com.br</v>
          </cell>
          <cell r="Q196" t="str">
            <v>marciele.vieira@factalojas.com.br</v>
          </cell>
          <cell r="S196" t="str">
            <v>loja20085@factalojas.com.br</v>
          </cell>
          <cell r="T196" t="str">
            <v>20085</v>
          </cell>
          <cell r="U196" t="str">
            <v/>
          </cell>
          <cell r="W196" t="str">
            <v>A</v>
          </cell>
        </row>
        <row r="197">
          <cell r="A197">
            <v>2921</v>
          </cell>
          <cell r="B197" t="str">
            <v>LOJA LAGUNA - SC</v>
          </cell>
          <cell r="C197">
            <v>6763</v>
          </cell>
          <cell r="D197" t="str">
            <v>JULIE BARBOSA</v>
          </cell>
          <cell r="E197">
            <v>763</v>
          </cell>
          <cell r="F197" t="str">
            <v>ADRIELE DA SILVA SOUZA</v>
          </cell>
          <cell r="G197">
            <v>44106</v>
          </cell>
          <cell r="H197" t="str">
            <v>travessa imarui</v>
          </cell>
          <cell r="I197" t="str">
            <v>Mar Grosso</v>
          </cell>
          <cell r="J197" t="str">
            <v>88790-000</v>
          </cell>
          <cell r="K197">
            <v>856</v>
          </cell>
          <cell r="L197" t="str">
            <v>SC</v>
          </cell>
          <cell r="M197" t="str">
            <v>48998469736</v>
          </cell>
          <cell r="N197">
            <v>811</v>
          </cell>
          <cell r="O197" t="str">
            <v>48998469736</v>
          </cell>
          <cell r="P197" t="str">
            <v>beatrizxavierlg@hotmail.com</v>
          </cell>
          <cell r="Q197" t="str">
            <v>loja2921@factalojas.com.br</v>
          </cell>
          <cell r="S197" t="str">
            <v>loja2921@factalojas.com.br</v>
          </cell>
          <cell r="T197" t="str">
            <v>2921</v>
          </cell>
          <cell r="U197" t="str">
            <v/>
          </cell>
          <cell r="W197" t="str">
            <v>A</v>
          </cell>
        </row>
        <row r="198">
          <cell r="A198">
            <v>2918</v>
          </cell>
          <cell r="B198" t="str">
            <v>LOJA PALHOCA - SC</v>
          </cell>
          <cell r="C198">
            <v>6096</v>
          </cell>
          <cell r="D198" t="str">
            <v>ANA PAULA PICOLLI</v>
          </cell>
          <cell r="E198">
            <v>763</v>
          </cell>
          <cell r="F198" t="str">
            <v>ADRIELE DA SILVA SOUZA</v>
          </cell>
          <cell r="G198">
            <v>44096</v>
          </cell>
          <cell r="H198" t="str">
            <v>RUA AV BARAO DO RIO BRANCO 56</v>
          </cell>
          <cell r="I198" t="str">
            <v>CENTRO</v>
          </cell>
          <cell r="J198" t="str">
            <v>88130-100</v>
          </cell>
          <cell r="K198">
            <v>1872</v>
          </cell>
          <cell r="L198" t="str">
            <v>SC</v>
          </cell>
          <cell r="M198" t="str">
            <v>4837711914</v>
          </cell>
          <cell r="N198">
            <v>810</v>
          </cell>
          <cell r="O198" t="str">
            <v>4837711914</v>
          </cell>
          <cell r="P198" t="str">
            <v>jesus.almeida@factalojas.com.br</v>
          </cell>
          <cell r="Q198" t="str">
            <v>loja2918@factalojas.com.br</v>
          </cell>
          <cell r="S198" t="str">
            <v>chaiany.julhano@factalojas.com.br</v>
          </cell>
          <cell r="T198" t="str">
            <v>2918</v>
          </cell>
          <cell r="U198" t="str">
            <v/>
          </cell>
          <cell r="W198" t="str">
            <v>A</v>
          </cell>
        </row>
        <row r="199">
          <cell r="A199">
            <v>9360</v>
          </cell>
          <cell r="B199" t="str">
            <v>LOJA SERRA - ES</v>
          </cell>
          <cell r="C199">
            <v>3467</v>
          </cell>
          <cell r="D199" t="str">
            <v>GISELLE MORAES SCHNEIDER</v>
          </cell>
          <cell r="E199">
            <v>6621</v>
          </cell>
          <cell r="F199" t="str">
            <v>THAYSA SANDIM DE SOUZA</v>
          </cell>
          <cell r="G199">
            <v>44096</v>
          </cell>
          <cell r="H199" t="str">
            <v>RÔMULO CASTELO, Nº. 18, LOJA 01 B</v>
          </cell>
          <cell r="I199" t="str">
            <v>CENTRO</v>
          </cell>
          <cell r="J199" t="str">
            <v>29176-080</v>
          </cell>
          <cell r="K199">
            <v>2344</v>
          </cell>
          <cell r="L199" t="str">
            <v>ES</v>
          </cell>
          <cell r="M199" t="str">
            <v>2740404101</v>
          </cell>
          <cell r="N199">
            <v>813</v>
          </cell>
          <cell r="O199" t="str">
            <v>2740404101</v>
          </cell>
          <cell r="P199" t="str">
            <v>talita.santos@factalojas.com.br</v>
          </cell>
          <cell r="Q199" t="str">
            <v>loja9360@factalojas.com.br</v>
          </cell>
          <cell r="S199" t="str">
            <v>loja9360@factalojas.com.br;talita.santos@factalojas.com.br</v>
          </cell>
          <cell r="T199" t="str">
            <v>9360</v>
          </cell>
          <cell r="U199" t="str">
            <v/>
          </cell>
          <cell r="W199" t="str">
            <v>A</v>
          </cell>
        </row>
        <row r="200">
          <cell r="A200">
            <v>2913</v>
          </cell>
          <cell r="B200" t="str">
            <v>LOJA CHAPECO - SC</v>
          </cell>
          <cell r="C200">
            <v>6096</v>
          </cell>
          <cell r="D200" t="str">
            <v>ANA PAULA PICOLLI</v>
          </cell>
          <cell r="E200">
            <v>763</v>
          </cell>
          <cell r="F200" t="str">
            <v>ADRIELE DA SILVA SOUZA</v>
          </cell>
          <cell r="G200">
            <v>44070</v>
          </cell>
          <cell r="H200" t="str">
            <v>AVENIDA FERNANDO MACHADO, 380 D SALA 1</v>
          </cell>
          <cell r="I200" t="str">
            <v>CENTRO</v>
          </cell>
          <cell r="J200" t="str">
            <v>89802-110</v>
          </cell>
          <cell r="K200">
            <v>416</v>
          </cell>
          <cell r="L200" t="str">
            <v>SC</v>
          </cell>
          <cell r="M200" t="str">
            <v>4933055157</v>
          </cell>
          <cell r="N200">
            <v>744</v>
          </cell>
          <cell r="O200" t="str">
            <v>4933055157</v>
          </cell>
          <cell r="P200" t="str">
            <v>raquel.moraes@factalojas.com.br</v>
          </cell>
          <cell r="Q200" t="str">
            <v>loja2913@factalojas.com.br</v>
          </cell>
          <cell r="S200" t="str">
            <v>loja2913@factalojas.com.br</v>
          </cell>
          <cell r="T200" t="str">
            <v>2913</v>
          </cell>
          <cell r="U200" t="str">
            <v>5669331 - Resp BRUNA KETLYN não faz mais parte da Empresa. (5669556)</v>
          </cell>
          <cell r="W200" t="str">
            <v>A</v>
          </cell>
        </row>
        <row r="201">
          <cell r="A201">
            <v>10330</v>
          </cell>
          <cell r="B201" t="str">
            <v>LOJA SAO GABRIEL - RS</v>
          </cell>
          <cell r="C201">
            <v>9984</v>
          </cell>
          <cell r="D201" t="str">
            <v>FABIOLA DAL ROSSO</v>
          </cell>
          <cell r="E201">
            <v>763</v>
          </cell>
          <cell r="F201" t="str">
            <v>ADRIELE DA SILVA SOUZA</v>
          </cell>
          <cell r="G201">
            <v>44070</v>
          </cell>
          <cell r="H201" t="str">
            <v>CORONEL SEZEFREDO Nº 791</v>
          </cell>
          <cell r="I201" t="str">
            <v>CENTRO</v>
          </cell>
          <cell r="J201" t="str">
            <v>97300-222</v>
          </cell>
          <cell r="K201">
            <v>105</v>
          </cell>
          <cell r="L201" t="str">
            <v>RS</v>
          </cell>
          <cell r="M201" t="str">
            <v>5533024454</v>
          </cell>
          <cell r="N201">
            <v>760</v>
          </cell>
          <cell r="O201" t="str">
            <v>5533024454</v>
          </cell>
          <cell r="P201" t="str">
            <v>jessica.neves@factalojas.com.br</v>
          </cell>
          <cell r="Q201" t="str">
            <v>loja10330@factalojas.com.br</v>
          </cell>
          <cell r="S201" t="str">
            <v>jessica.neves@factalojas.com.br</v>
          </cell>
          <cell r="T201" t="str">
            <v>10330</v>
          </cell>
          <cell r="U201" t="str">
            <v xml:space="preserve">_x000D_
</v>
          </cell>
          <cell r="W201" t="str">
            <v>A</v>
          </cell>
        </row>
        <row r="202">
          <cell r="A202">
            <v>10331</v>
          </cell>
          <cell r="B202" t="str">
            <v>LOJA ERECHIM - RS</v>
          </cell>
          <cell r="C202">
            <v>5428</v>
          </cell>
          <cell r="D202" t="str">
            <v>DANIELA DO CARMO CAMPARA</v>
          </cell>
          <cell r="E202">
            <v>763</v>
          </cell>
          <cell r="F202" t="str">
            <v>ADRIELE DA SILVA SOUZA</v>
          </cell>
          <cell r="G202">
            <v>44070</v>
          </cell>
          <cell r="H202" t="str">
            <v>AV. SETE DE SETEMBRO, Nº 483</v>
          </cell>
          <cell r="I202" t="str">
            <v>CENTRO</v>
          </cell>
          <cell r="J202" t="str">
            <v>99700-000</v>
          </cell>
          <cell r="K202">
            <v>57</v>
          </cell>
          <cell r="L202" t="str">
            <v>RS</v>
          </cell>
          <cell r="M202" t="str">
            <v>5430835222</v>
          </cell>
          <cell r="N202">
            <v>755</v>
          </cell>
          <cell r="O202" t="str">
            <v>5430835222</v>
          </cell>
          <cell r="P202" t="str">
            <v>zenor.junior@factalojas.com.br</v>
          </cell>
          <cell r="Q202" t="str">
            <v>loja10331@factalojas.com.br</v>
          </cell>
          <cell r="S202" t="str">
            <v>loja10331@factalojas.com.br</v>
          </cell>
          <cell r="T202" t="str">
            <v>10331</v>
          </cell>
          <cell r="U202" t="str">
            <v/>
          </cell>
          <cell r="W202" t="str">
            <v>A</v>
          </cell>
        </row>
        <row r="203">
          <cell r="A203">
            <v>10332</v>
          </cell>
          <cell r="B203" t="str">
            <v>LOJA CARAZINHO - RS</v>
          </cell>
          <cell r="C203">
            <v>5428</v>
          </cell>
          <cell r="D203" t="str">
            <v>DANIELA DO CARMO CAMPARA</v>
          </cell>
          <cell r="E203">
            <v>763</v>
          </cell>
          <cell r="F203" t="str">
            <v>ADRIELE DA SILVA SOUZA</v>
          </cell>
          <cell r="G203">
            <v>44070</v>
          </cell>
          <cell r="H203" t="str">
            <v>Av Flores da Cunha, 1184, Sala 101 - Edifício Avenida</v>
          </cell>
          <cell r="I203" t="str">
            <v>Centro</v>
          </cell>
          <cell r="J203" t="str">
            <v>99500-000</v>
          </cell>
          <cell r="K203">
            <v>41</v>
          </cell>
          <cell r="L203" t="str">
            <v>RS</v>
          </cell>
          <cell r="M203" t="str">
            <v>5430835221</v>
          </cell>
          <cell r="N203">
            <v>756</v>
          </cell>
          <cell r="O203" t="str">
            <v>5430835221</v>
          </cell>
          <cell r="P203" t="str">
            <v>daniela.campara@facta.com.br</v>
          </cell>
          <cell r="Q203" t="str">
            <v>anderson.turela@facta.com.br</v>
          </cell>
          <cell r="S203" t="str">
            <v>loja10332@factalojas.com.br</v>
          </cell>
          <cell r="T203" t="str">
            <v>10332</v>
          </cell>
          <cell r="U203" t="str">
            <v>043.739.310-03</v>
          </cell>
          <cell r="W203" t="str">
            <v>A</v>
          </cell>
        </row>
        <row r="204">
          <cell r="A204">
            <v>10333</v>
          </cell>
          <cell r="B204" t="str">
            <v>LOJA PASSO FUNDO 2 - RS</v>
          </cell>
          <cell r="C204">
            <v>5428</v>
          </cell>
          <cell r="D204" t="str">
            <v>DANIELA DO CARMO CAMPARA</v>
          </cell>
          <cell r="E204">
            <v>763</v>
          </cell>
          <cell r="F204" t="str">
            <v>ADRIELE DA SILVA SOUZA</v>
          </cell>
          <cell r="G204">
            <v>44070</v>
          </cell>
          <cell r="H204" t="str">
            <v>RUA CEL. CHICUTA, Nº 436, LOJA 8</v>
          </cell>
          <cell r="I204" t="str">
            <v>CENTRO</v>
          </cell>
          <cell r="J204" t="str">
            <v>99010-051</v>
          </cell>
          <cell r="K204">
            <v>16</v>
          </cell>
          <cell r="L204" t="str">
            <v>RS</v>
          </cell>
          <cell r="M204" t="str">
            <v>5433104429</v>
          </cell>
          <cell r="N204">
            <v>809</v>
          </cell>
          <cell r="O204" t="str">
            <v>5433104429</v>
          </cell>
          <cell r="P204" t="str">
            <v>marlon.meira@facta.com.br</v>
          </cell>
          <cell r="Q204" t="str">
            <v>loja10333@factalojas.com.br</v>
          </cell>
          <cell r="S204" t="str">
            <v>loja10333@factalojas.com.br</v>
          </cell>
          <cell r="T204" t="str">
            <v>10333</v>
          </cell>
          <cell r="U204" t="str">
            <v/>
          </cell>
          <cell r="W204" t="str">
            <v>A</v>
          </cell>
        </row>
        <row r="205">
          <cell r="A205">
            <v>31353</v>
          </cell>
          <cell r="B205" t="str">
            <v>LOJA TOLEDO - PR</v>
          </cell>
          <cell r="C205">
            <v>5897</v>
          </cell>
          <cell r="D205" t="str">
            <v>THAINARA DO CARMO SANTOS</v>
          </cell>
          <cell r="E205">
            <v>3826</v>
          </cell>
          <cell r="F205" t="str">
            <v>CINARA REGINA KEMERICH</v>
          </cell>
          <cell r="G205">
            <v>44053</v>
          </cell>
          <cell r="H205" t="str">
            <v>sete de setembro  n 1218</v>
          </cell>
          <cell r="I205" t="str">
            <v>CENTRO</v>
          </cell>
          <cell r="J205" t="str">
            <v>85900-220</v>
          </cell>
          <cell r="K205">
            <v>3723</v>
          </cell>
          <cell r="L205" t="str">
            <v>PR</v>
          </cell>
          <cell r="M205" t="str">
            <v>4598327814</v>
          </cell>
          <cell r="N205">
            <v>752</v>
          </cell>
          <cell r="O205" t="str">
            <v>4598327814</v>
          </cell>
          <cell r="P205" t="str">
            <v>aderito.silva@factalojas.com.br</v>
          </cell>
          <cell r="Q205" t="str">
            <v>thainara.santos@facta.com.br</v>
          </cell>
          <cell r="S205" t="str">
            <v>loja31353@factalojas.com.br</v>
          </cell>
          <cell r="T205" t="str">
            <v>31353</v>
          </cell>
          <cell r="U205" t="str">
            <v/>
          </cell>
          <cell r="W205" t="str">
            <v>A</v>
          </cell>
        </row>
        <row r="206">
          <cell r="A206">
            <v>149500</v>
          </cell>
          <cell r="B206" t="str">
            <v>CALL CENTER PRODUTOS E SERVICOS 5</v>
          </cell>
          <cell r="C206">
            <v>11407</v>
          </cell>
          <cell r="D206" t="str">
            <v>ALISSON MONEGO PEREIRA</v>
          </cell>
          <cell r="E206">
            <v>15556</v>
          </cell>
          <cell r="F206" t="str">
            <v>FERNANDA APARECIDA TOMAZINI</v>
          </cell>
          <cell r="G206">
            <v>43850</v>
          </cell>
          <cell r="H206" t="str">
            <v>RUA VIGARIO JOSE INACIO, 258 / 260</v>
          </cell>
          <cell r="I206" t="str">
            <v xml:space="preserve">CENTRO HISTORICO </v>
          </cell>
          <cell r="J206" t="str">
            <v>90020-110</v>
          </cell>
          <cell r="K206">
            <v>35</v>
          </cell>
          <cell r="L206" t="str">
            <v>RS</v>
          </cell>
          <cell r="M206" t="str">
            <v>5130761803</v>
          </cell>
          <cell r="N206">
            <v>806</v>
          </cell>
          <cell r="O206" t="str">
            <v>5130761803</v>
          </cell>
          <cell r="P206" t="str">
            <v>alisson.pereira@facta.com.br;luiz.medeiros@facta.com.br</v>
          </cell>
          <cell r="Q206" t="str">
            <v>luiz.medeiros@facta.com.br;alisson.pereira@facta.com.br</v>
          </cell>
          <cell r="S206" t="str">
            <v>luiz.medeiros@facta.com.br;alisson.pereira@facta.com.br</v>
          </cell>
          <cell r="T206" t="str">
            <v>149500</v>
          </cell>
          <cell r="U206" t="str">
            <v>INATIVADO DIA 15/03 solicitado pelo CALL com de acordo do CLEBER (imagens)</v>
          </cell>
          <cell r="W206" t="str">
            <v>A</v>
          </cell>
        </row>
        <row r="207">
          <cell r="A207">
            <v>149400</v>
          </cell>
          <cell r="B207" t="str">
            <v>CALL CENTER PRODUTOS E SERVICOS 4</v>
          </cell>
          <cell r="C207">
            <v>11407</v>
          </cell>
          <cell r="D207" t="str">
            <v>ALISSON MONEGO PEREIRA</v>
          </cell>
          <cell r="E207">
            <v>15556</v>
          </cell>
          <cell r="F207" t="str">
            <v>FERNANDA APARECIDA TOMAZINI</v>
          </cell>
          <cell r="G207">
            <v>43762</v>
          </cell>
          <cell r="H207" t="str">
            <v xml:space="preserve">BORGES DE MEDEIROS 410 / SOBRE LOJA </v>
          </cell>
          <cell r="I207" t="str">
            <v xml:space="preserve">CENTRO </v>
          </cell>
          <cell r="J207" t="str">
            <v>90020-100</v>
          </cell>
          <cell r="K207">
            <v>35</v>
          </cell>
          <cell r="L207" t="str">
            <v>RS</v>
          </cell>
          <cell r="M207" t="str">
            <v>5130761818</v>
          </cell>
          <cell r="N207">
            <v>793</v>
          </cell>
          <cell r="O207" t="str">
            <v>5130761818</v>
          </cell>
          <cell r="P207" t="str">
            <v>vanessa.pinto@factacall.com.br</v>
          </cell>
          <cell r="Q207" t="str">
            <v>vanessa.pinto@factacall.com.br</v>
          </cell>
          <cell r="S207" t="str">
            <v>vanessa.pinto@factacall.com.br</v>
          </cell>
          <cell r="T207" t="str">
            <v>149400</v>
          </cell>
          <cell r="U207" t="str">
            <v/>
          </cell>
          <cell r="W207" t="str">
            <v>A</v>
          </cell>
        </row>
        <row r="208">
          <cell r="A208">
            <v>10226</v>
          </cell>
          <cell r="B208" t="str">
            <v>LOJA PORTO ALEGRE - SALGADO FILHO - RS</v>
          </cell>
          <cell r="C208">
            <v>3483</v>
          </cell>
          <cell r="D208" t="str">
            <v>LARISSA OLIVEIRA BARBOZA</v>
          </cell>
          <cell r="E208">
            <v>763</v>
          </cell>
          <cell r="F208" t="str">
            <v>ADRIELE DA SILVA SOUZA</v>
          </cell>
          <cell r="G208">
            <v>43756</v>
          </cell>
          <cell r="H208" t="str">
            <v>AV.  SENADOR SALGADO FILHO 208</v>
          </cell>
          <cell r="I208" t="str">
            <v>CENTRO</v>
          </cell>
          <cell r="J208" t="str">
            <v>90010-220</v>
          </cell>
          <cell r="K208">
            <v>35</v>
          </cell>
          <cell r="L208" t="str">
            <v>RS</v>
          </cell>
          <cell r="M208" t="str">
            <v>5135008519</v>
          </cell>
          <cell r="N208">
            <v>801</v>
          </cell>
          <cell r="O208" t="str">
            <v>5135008519</v>
          </cell>
          <cell r="P208" t="str">
            <v>eric.souza@factalojas.com.br</v>
          </cell>
          <cell r="Q208" t="str">
            <v>larissa.barboza@facta.com.br</v>
          </cell>
          <cell r="S208" t="str">
            <v>loja10226@factalojas.com.br;larissa.barboza@facta.com.br</v>
          </cell>
          <cell r="T208" t="str">
            <v>10226</v>
          </cell>
          <cell r="U208" t="str">
            <v xml:space="preserve">_x000D_
</v>
          </cell>
          <cell r="W208" t="str">
            <v>A</v>
          </cell>
        </row>
        <row r="209">
          <cell r="A209">
            <v>15361</v>
          </cell>
          <cell r="B209" t="str">
            <v>LOJA GARAVELO - GO</v>
          </cell>
          <cell r="C209">
            <v>14442</v>
          </cell>
          <cell r="D209" t="str">
            <v>ADRIELE FERNANDA VIEIRA DA SILVA</v>
          </cell>
          <cell r="E209">
            <v>3026</v>
          </cell>
          <cell r="F209" t="str">
            <v>MAYARA NOVAIS LOPES</v>
          </cell>
          <cell r="G209">
            <v>43756</v>
          </cell>
          <cell r="H209" t="str">
            <v>AVENIDA DA IGUALDADE QD 095, LT 03</v>
          </cell>
          <cell r="I209" t="str">
            <v>SETOR GARAVELO</v>
          </cell>
          <cell r="J209" t="str">
            <v>74930-530</v>
          </cell>
          <cell r="K209">
            <v>2027</v>
          </cell>
          <cell r="L209" t="str">
            <v>GO</v>
          </cell>
          <cell r="M209" t="str">
            <v>6231421998</v>
          </cell>
          <cell r="N209">
            <v>749</v>
          </cell>
          <cell r="O209" t="str">
            <v>6231421998</v>
          </cell>
          <cell r="P209" t="str">
            <v>poliana.silva@factalojas.com.br</v>
          </cell>
          <cell r="Q209" t="str">
            <v>poliana.silva@factalojas.com.br</v>
          </cell>
          <cell r="S209" t="str">
            <v>loja15361@factalojas.com.br</v>
          </cell>
          <cell r="T209" t="str">
            <v>15361</v>
          </cell>
          <cell r="U209" t="str">
            <v/>
          </cell>
          <cell r="W209" t="str">
            <v>A</v>
          </cell>
        </row>
        <row r="210">
          <cell r="A210">
            <v>31276</v>
          </cell>
          <cell r="B210" t="str">
            <v>LOJA CASCAVEL - PR</v>
          </cell>
          <cell r="C210">
            <v>5897</v>
          </cell>
          <cell r="D210" t="str">
            <v>THAINARA DO CARMO SANTOS</v>
          </cell>
          <cell r="E210">
            <v>3826</v>
          </cell>
          <cell r="F210" t="str">
            <v>CINARA REGINA KEMERICH</v>
          </cell>
          <cell r="G210">
            <v>43678</v>
          </cell>
          <cell r="H210" t="str">
            <v>AVENIDA BRASIL 6282, SL 312</v>
          </cell>
          <cell r="I210" t="str">
            <v>CENTRO</v>
          </cell>
          <cell r="J210" t="str">
            <v>85812-002</v>
          </cell>
          <cell r="K210">
            <v>608</v>
          </cell>
          <cell r="L210" t="str">
            <v>PR</v>
          </cell>
          <cell r="M210" t="str">
            <v>4531979111</v>
          </cell>
          <cell r="N210">
            <v>742</v>
          </cell>
          <cell r="O210" t="str">
            <v>4531979111</v>
          </cell>
          <cell r="P210" t="str">
            <v>stony.klin@factalojas.com.br</v>
          </cell>
          <cell r="Q210" t="str">
            <v>thainara.santos@facta.com.br</v>
          </cell>
          <cell r="S210" t="str">
            <v>loja31276@factalojas.com.br</v>
          </cell>
          <cell r="T210" t="str">
            <v>31276</v>
          </cell>
          <cell r="U210" t="str">
            <v>CNPJ antigo 29.229.338/0048-65</v>
          </cell>
          <cell r="W210" t="str">
            <v>A</v>
          </cell>
        </row>
        <row r="211">
          <cell r="A211">
            <v>31241</v>
          </cell>
          <cell r="B211" t="str">
            <v>LOJA CURITIBA 2 - PR</v>
          </cell>
          <cell r="E211">
            <v>0</v>
          </cell>
          <cell r="G211">
            <v>43507</v>
          </cell>
          <cell r="H211" t="str">
            <v>RUA MARECHAL FLORIANO PEIXOTO, 256</v>
          </cell>
          <cell r="I211" t="str">
            <v>CENTRO</v>
          </cell>
          <cell r="J211" t="str">
            <v>80320-110</v>
          </cell>
          <cell r="K211">
            <v>251</v>
          </cell>
          <cell r="L211" t="str">
            <v>PR</v>
          </cell>
          <cell r="M211" t="str">
            <v xml:space="preserve">4100000000 </v>
          </cell>
          <cell r="N211">
            <v>0</v>
          </cell>
          <cell r="O211" t="str">
            <v xml:space="preserve">4100000000 </v>
          </cell>
          <cell r="P211" t="str">
            <v>loja31241@facta.com.br</v>
          </cell>
          <cell r="Q211" t="str">
            <v>loja31241@facta.com.br</v>
          </cell>
          <cell r="S211" t="str">
            <v>loja31241@facta.com.br</v>
          </cell>
          <cell r="T211" t="str">
            <v>31241</v>
          </cell>
          <cell r="W211" t="str">
            <v>I</v>
          </cell>
        </row>
        <row r="212">
          <cell r="A212">
            <v>7838</v>
          </cell>
          <cell r="B212" t="str">
            <v>CALL CENTER BA II</v>
          </cell>
          <cell r="E212">
            <v>2751</v>
          </cell>
          <cell r="F212" t="str">
            <v>SIRLENE SANTOS DE SOUZA BARBOSA</v>
          </cell>
          <cell r="G212">
            <v>43482</v>
          </cell>
          <cell r="H212" t="str">
            <v>R DA BELGICA, 148 - LOJA C</v>
          </cell>
          <cell r="I212" t="str">
            <v>COMERCIO</v>
          </cell>
          <cell r="J212" t="str">
            <v>40010-030</v>
          </cell>
          <cell r="K212">
            <v>1002</v>
          </cell>
          <cell r="L212" t="str">
            <v>BA</v>
          </cell>
          <cell r="M212" t="str">
            <v xml:space="preserve">7130259666 </v>
          </cell>
          <cell r="N212">
            <v>781</v>
          </cell>
          <cell r="O212" t="str">
            <v xml:space="preserve">7130259666 </v>
          </cell>
          <cell r="P212" t="str">
            <v>geane.gomes@facta.com.br</v>
          </cell>
          <cell r="Q212" t="str">
            <v>geane.gomes@facta.com.br</v>
          </cell>
          <cell r="S212" t="str">
            <v>centralvendas.baii@facta.com.br</v>
          </cell>
          <cell r="T212" t="str">
            <v>7838</v>
          </cell>
          <cell r="W212" t="str">
            <v>I</v>
          </cell>
        </row>
        <row r="213">
          <cell r="A213">
            <v>7839</v>
          </cell>
          <cell r="B213" t="str">
            <v>CALL CENTER BA III</v>
          </cell>
          <cell r="E213">
            <v>2751</v>
          </cell>
          <cell r="F213" t="str">
            <v>SIRLENE SANTOS DE SOUZA BARBOSA</v>
          </cell>
          <cell r="G213">
            <v>43482</v>
          </cell>
          <cell r="H213" t="str">
            <v>R DA BELGICA, 148 - LOJA C</v>
          </cell>
          <cell r="I213" t="str">
            <v>COMERCIO</v>
          </cell>
          <cell r="J213" t="str">
            <v>40010-030</v>
          </cell>
          <cell r="K213">
            <v>1002</v>
          </cell>
          <cell r="L213" t="str">
            <v>BA</v>
          </cell>
          <cell r="M213" t="str">
            <v xml:space="preserve">7130259666 </v>
          </cell>
          <cell r="N213">
            <v>782</v>
          </cell>
          <cell r="O213" t="str">
            <v xml:space="preserve">7130259666 </v>
          </cell>
          <cell r="P213" t="str">
            <v>agata.sergio@facta.com.br</v>
          </cell>
          <cell r="Q213" t="str">
            <v>agata.sergio@facta.com.br</v>
          </cell>
          <cell r="S213" t="str">
            <v>agata.sergio@facta.com.br</v>
          </cell>
          <cell r="T213" t="str">
            <v>7839</v>
          </cell>
          <cell r="W213" t="str">
            <v>I</v>
          </cell>
        </row>
        <row r="214">
          <cell r="A214">
            <v>10678</v>
          </cell>
          <cell r="B214" t="str">
            <v>LOJA NOVO HAMBURGO 2 - RS</v>
          </cell>
          <cell r="C214">
            <v>3802</v>
          </cell>
          <cell r="D214" t="str">
            <v>THAMIRES IZIDORO DO NASCIMENTO SILVA</v>
          </cell>
          <cell r="E214">
            <v>763</v>
          </cell>
          <cell r="F214" t="str">
            <v>ADRIELE DA SILVA SOUZA</v>
          </cell>
          <cell r="G214">
            <v>43425</v>
          </cell>
          <cell r="H214" t="str">
            <v>RUA BENTO GONÇALVES, 2423, SALA 01</v>
          </cell>
          <cell r="I214" t="str">
            <v>CENTRO</v>
          </cell>
          <cell r="J214" t="str">
            <v>93510-000</v>
          </cell>
          <cell r="K214">
            <v>21</v>
          </cell>
          <cell r="L214" t="str">
            <v>RS</v>
          </cell>
          <cell r="M214" t="str">
            <v>5131917315</v>
          </cell>
          <cell r="N214">
            <v>780</v>
          </cell>
          <cell r="O214" t="str">
            <v>5131917315</v>
          </cell>
          <cell r="P214" t="str">
            <v>rubia.santos@factalojas.com.br</v>
          </cell>
          <cell r="Q214" t="str">
            <v>loja10678@factalojas.com.br;thamires.nascimento@facta.com.br</v>
          </cell>
          <cell r="S214" t="str">
            <v>loja10678@factalojas.com.br;thamires.nascimento@facta.com.br</v>
          </cell>
          <cell r="T214" t="str">
            <v>10678</v>
          </cell>
          <cell r="U214" t="str">
            <v/>
          </cell>
          <cell r="W214" t="str">
            <v>A</v>
          </cell>
        </row>
        <row r="215">
          <cell r="A215">
            <v>31226</v>
          </cell>
          <cell r="B215" t="str">
            <v>LOJA FOZ DO IGUACU - PR</v>
          </cell>
          <cell r="C215">
            <v>5897</v>
          </cell>
          <cell r="D215" t="str">
            <v>THAINARA DO CARMO SANTOS</v>
          </cell>
          <cell r="E215">
            <v>3826</v>
          </cell>
          <cell r="F215" t="str">
            <v>CINARA REGINA KEMERICH</v>
          </cell>
          <cell r="G215">
            <v>43391</v>
          </cell>
          <cell r="H215" t="str">
            <v>RUA BARÃO DO RIO BRANCO, 648</v>
          </cell>
          <cell r="I215" t="str">
            <v>CENTRO</v>
          </cell>
          <cell r="J215" t="str">
            <v>85851-310</v>
          </cell>
          <cell r="K215">
            <v>474</v>
          </cell>
          <cell r="L215" t="str">
            <v>PR</v>
          </cell>
          <cell r="M215" t="str">
            <v>4531985996</v>
          </cell>
          <cell r="N215">
            <v>743</v>
          </cell>
          <cell r="O215" t="str">
            <v>4531985996</v>
          </cell>
          <cell r="P215" t="str">
            <v>loja31226@factalojas.com.br</v>
          </cell>
          <cell r="Q215" t="str">
            <v>thainara.santos@facta.com.br</v>
          </cell>
          <cell r="S215" t="str">
            <v>loja31226@factalojas.com.br</v>
          </cell>
          <cell r="T215" t="str">
            <v>31226</v>
          </cell>
          <cell r="W215" t="str">
            <v>A</v>
          </cell>
        </row>
        <row r="216">
          <cell r="A216">
            <v>53556</v>
          </cell>
          <cell r="B216" t="str">
            <v>LOJA BAURU - SP</v>
          </cell>
          <cell r="C216">
            <v>8976</v>
          </cell>
          <cell r="D216" t="str">
            <v>ANDREY COSTA DA ROCHA</v>
          </cell>
          <cell r="E216">
            <v>3826</v>
          </cell>
          <cell r="F216" t="str">
            <v>CINARA REGINA KEMERICH</v>
          </cell>
          <cell r="G216">
            <v>43384</v>
          </cell>
          <cell r="H216" t="str">
            <v xml:space="preserve">RUA TREZE DE MAIO, N 3-20 </v>
          </cell>
          <cell r="I216" t="str">
            <v>CENTRO</v>
          </cell>
          <cell r="J216" t="str">
            <v>17010-230</v>
          </cell>
          <cell r="K216">
            <v>1285</v>
          </cell>
          <cell r="L216" t="str">
            <v>SP</v>
          </cell>
          <cell r="M216" t="str">
            <v>1435009874</v>
          </cell>
          <cell r="N216">
            <v>197</v>
          </cell>
          <cell r="O216" t="str">
            <v>1435009874</v>
          </cell>
          <cell r="P216" t="str">
            <v>natalia.novelli@factalojas.com.br</v>
          </cell>
          <cell r="Q216" t="str">
            <v>andrey.rocha@facta.com.br</v>
          </cell>
          <cell r="S216" t="str">
            <v>loja53556@factalojas.com.br</v>
          </cell>
          <cell r="T216" t="str">
            <v>53556</v>
          </cell>
          <cell r="U216" t="str">
            <v/>
          </cell>
          <cell r="W216" t="str">
            <v>A</v>
          </cell>
        </row>
        <row r="217">
          <cell r="A217">
            <v>10650</v>
          </cell>
          <cell r="B217" t="str">
            <v>LOJA SANTA ROSA - RS</v>
          </cell>
          <cell r="C217">
            <v>9984</v>
          </cell>
          <cell r="D217" t="str">
            <v>FABIOLA DAL ROSSO</v>
          </cell>
          <cell r="E217">
            <v>763</v>
          </cell>
          <cell r="F217" t="str">
            <v>ADRIELE DA SILVA SOUZA</v>
          </cell>
          <cell r="G217">
            <v>43368</v>
          </cell>
          <cell r="H217" t="str">
            <v>RUA GUERINO RIGO 50, SALA 02</v>
          </cell>
          <cell r="I217" t="str">
            <v>CENTRO</v>
          </cell>
          <cell r="J217" t="str">
            <v>98780-328</v>
          </cell>
          <cell r="K217">
            <v>5036</v>
          </cell>
          <cell r="L217" t="str">
            <v>RS</v>
          </cell>
          <cell r="M217" t="str">
            <v>5520130015</v>
          </cell>
          <cell r="N217">
            <v>413</v>
          </cell>
          <cell r="O217" t="str">
            <v>5520130015</v>
          </cell>
          <cell r="P217" t="str">
            <v>loja10650@factalojas.com.br</v>
          </cell>
          <cell r="Q217" t="str">
            <v>loja10650@factalojas.com.br</v>
          </cell>
          <cell r="S217" t="str">
            <v>loja10650@factalojas.com.br</v>
          </cell>
          <cell r="T217" t="str">
            <v>10650</v>
          </cell>
          <cell r="W217" t="str">
            <v>A</v>
          </cell>
        </row>
        <row r="218">
          <cell r="A218">
            <v>31220</v>
          </cell>
          <cell r="B218" t="str">
            <v>LOJA PONTA GROSSA - PR</v>
          </cell>
          <cell r="C218">
            <v>10803</v>
          </cell>
          <cell r="D218" t="str">
            <v>JOAO GUALBERTO BRAZ JUNIOR</v>
          </cell>
          <cell r="E218">
            <v>3826</v>
          </cell>
          <cell r="F218" t="str">
            <v>CINARA REGINA KEMERICH</v>
          </cell>
          <cell r="G218">
            <v>43357</v>
          </cell>
          <cell r="H218" t="str">
            <v>RUA SANTOS DUMONT Nº 882.</v>
          </cell>
          <cell r="I218" t="str">
            <v>CENTRO</v>
          </cell>
          <cell r="J218" t="str">
            <v>84010-360</v>
          </cell>
          <cell r="K218">
            <v>3617</v>
          </cell>
          <cell r="L218" t="str">
            <v>PR</v>
          </cell>
          <cell r="M218" t="str">
            <v>4233028272</v>
          </cell>
          <cell r="N218">
            <v>741</v>
          </cell>
          <cell r="O218" t="str">
            <v>4233028272</v>
          </cell>
          <cell r="P218" t="str">
            <v>camila.moreira@factalojas.com.br</v>
          </cell>
          <cell r="Q218" t="str">
            <v>loja31220@factalojas.com.br</v>
          </cell>
          <cell r="S218" t="str">
            <v>joao.braz@facta.com.br</v>
          </cell>
          <cell r="T218" t="str">
            <v>31220</v>
          </cell>
          <cell r="U218" t="str">
            <v/>
          </cell>
          <cell r="W218" t="str">
            <v>A</v>
          </cell>
        </row>
        <row r="219">
          <cell r="A219">
            <v>45034</v>
          </cell>
          <cell r="B219" t="str">
            <v>LOJA CONTAGEM - MG</v>
          </cell>
          <cell r="C219">
            <v>11192</v>
          </cell>
          <cell r="D219" t="str">
            <v>RENATO SOUZA DO ESPIRITO SANTO LANGA</v>
          </cell>
          <cell r="E219">
            <v>3026</v>
          </cell>
          <cell r="F219" t="str">
            <v>MAYARA NOVAIS LOPES</v>
          </cell>
          <cell r="G219">
            <v>43332</v>
          </cell>
          <cell r="H219" t="str">
            <v>AV. LONDRES, 47 LOJA 1</v>
          </cell>
          <cell r="I219" t="str">
            <v>ELDORADO</v>
          </cell>
          <cell r="J219" t="str">
            <v>32340-570</v>
          </cell>
          <cell r="K219">
            <v>2324</v>
          </cell>
          <cell r="L219" t="str">
            <v>MG</v>
          </cell>
          <cell r="M219" t="str">
            <v>3126262523</v>
          </cell>
          <cell r="N219">
            <v>745</v>
          </cell>
          <cell r="O219" t="str">
            <v>3126262523</v>
          </cell>
          <cell r="P219" t="str">
            <v>carlos.franca@factalojas.com.br</v>
          </cell>
          <cell r="Q219" t="str">
            <v>carlos.franca@factalojas.com.br</v>
          </cell>
          <cell r="S219" t="str">
            <v>carlos.franca@factalojas.com.br; loja45034@factalojas.com.br</v>
          </cell>
          <cell r="T219" t="str">
            <v>45034</v>
          </cell>
          <cell r="U219" t="str">
            <v/>
          </cell>
          <cell r="W219" t="str">
            <v>A</v>
          </cell>
        </row>
        <row r="220">
          <cell r="A220">
            <v>10627</v>
          </cell>
          <cell r="B220" t="str">
            <v>LOJA SAO LEOPOLDO 2 - RS</v>
          </cell>
          <cell r="C220">
            <v>3802</v>
          </cell>
          <cell r="D220" t="str">
            <v>THAMIRES IZIDORO DO NASCIMENTO SILVA</v>
          </cell>
          <cell r="E220">
            <v>763</v>
          </cell>
          <cell r="F220" t="str">
            <v>ADRIELE DA SILVA SOUZA</v>
          </cell>
          <cell r="G220">
            <v>43314</v>
          </cell>
          <cell r="H220" t="str">
            <v>RUA LINDOLFO COLLOR, Nº 789 SALA 1</v>
          </cell>
          <cell r="I220" t="str">
            <v>CENTRO</v>
          </cell>
          <cell r="J220" t="str">
            <v>93010-080</v>
          </cell>
          <cell r="K220">
            <v>31</v>
          </cell>
          <cell r="L220" t="str">
            <v>RS</v>
          </cell>
          <cell r="M220" t="str">
            <v>5131810764</v>
          </cell>
          <cell r="N220">
            <v>774</v>
          </cell>
          <cell r="O220" t="str">
            <v>5131810764</v>
          </cell>
          <cell r="P220" t="str">
            <v>eliane.machado@factalojas.com.br</v>
          </cell>
          <cell r="Q220" t="str">
            <v>loja10627@factalojas.com.br;eliane.machado@factalojas.com.br;thamires.nascimento@facta.com.br</v>
          </cell>
          <cell r="S220" t="str">
            <v>loja10627@factalojas.com.br;eliane.machado@factalojas.com.br;thamires.nascimento@facta.com.br</v>
          </cell>
          <cell r="T220" t="str">
            <v>10627</v>
          </cell>
          <cell r="U220" t="str">
            <v/>
          </cell>
          <cell r="W220" t="str">
            <v>A</v>
          </cell>
        </row>
        <row r="221">
          <cell r="A221">
            <v>24009</v>
          </cell>
          <cell r="B221" t="str">
            <v>LOJA PALMAS - TO</v>
          </cell>
          <cell r="C221">
            <v>14442</v>
          </cell>
          <cell r="D221" t="str">
            <v>ADRIELE FERNANDA VIEIRA DA SILVA</v>
          </cell>
          <cell r="E221">
            <v>3026</v>
          </cell>
          <cell r="F221" t="str">
            <v>MAYARA NOVAIS LOPES</v>
          </cell>
          <cell r="G221">
            <v>43297</v>
          </cell>
          <cell r="H221" t="str">
            <v>QUADRA 104 SUL, RUA SE 01, N° 5, SALA 1,</v>
          </cell>
          <cell r="I221" t="str">
            <v xml:space="preserve">PLANO DIRETOR SUL </v>
          </cell>
          <cell r="J221" t="str">
            <v>77020-014</v>
          </cell>
          <cell r="K221">
            <v>3591</v>
          </cell>
          <cell r="L221" t="str">
            <v>TO</v>
          </cell>
          <cell r="M221" t="str">
            <v>6321041429</v>
          </cell>
          <cell r="N221">
            <v>775</v>
          </cell>
          <cell r="O221" t="str">
            <v>6321041429</v>
          </cell>
          <cell r="P221" t="str">
            <v>marcio.almeida@factalojas.com.br</v>
          </cell>
          <cell r="Q221" t="str">
            <v>loja24009@factalojas.com.br</v>
          </cell>
          <cell r="S221" t="str">
            <v>marcio.almeida@factalojas.com.br;loja24009@factalojas.com.br</v>
          </cell>
          <cell r="T221" t="str">
            <v>24009</v>
          </cell>
          <cell r="U221" t="str">
            <v/>
          </cell>
          <cell r="W221" t="str">
            <v>A</v>
          </cell>
        </row>
        <row r="222">
          <cell r="A222">
            <v>7815</v>
          </cell>
          <cell r="B222" t="str">
            <v>LOJA SAO MARCOS - BA</v>
          </cell>
          <cell r="C222">
            <v>12518</v>
          </cell>
          <cell r="D222" t="str">
            <v>LUANA SANTOS FURMANEK</v>
          </cell>
          <cell r="E222">
            <v>5452</v>
          </cell>
          <cell r="F222" t="str">
            <v>CRISTIANE CARVALHO GEBELATTO</v>
          </cell>
          <cell r="G222">
            <v>43272</v>
          </cell>
          <cell r="H222" t="str">
            <v>RUA SÃO MARCOS, 56</v>
          </cell>
          <cell r="I222" t="str">
            <v>SÃO MARCOS</v>
          </cell>
          <cell r="J222" t="str">
            <v>41253-190</v>
          </cell>
          <cell r="K222">
            <v>1002</v>
          </cell>
          <cell r="L222" t="str">
            <v>BA</v>
          </cell>
          <cell r="M222" t="str">
            <v>7135990009</v>
          </cell>
          <cell r="N222">
            <v>770</v>
          </cell>
          <cell r="O222" t="str">
            <v>7135990009</v>
          </cell>
          <cell r="P222" t="str">
            <v>adriane.ribeiro@factalojas.com.br</v>
          </cell>
          <cell r="Q222" t="str">
            <v>loja7815@factalojas.com.br</v>
          </cell>
          <cell r="S222" t="str">
            <v>loja7815@factalojas.com.br</v>
          </cell>
          <cell r="T222" t="str">
            <v>7815</v>
          </cell>
          <cell r="U222" t="str">
            <v xml:space="preserve">ADRIANE SANTOS RIBEIRO_x000D_
017.329.075-28_x000D_
0861914970_x000D_
16/05/1986_x000D_
</v>
          </cell>
          <cell r="W222" t="str">
            <v>A</v>
          </cell>
        </row>
        <row r="223">
          <cell r="A223">
            <v>10609</v>
          </cell>
          <cell r="B223" t="str">
            <v>LOJA PORTO ALEGRE ANDRADAS - RS</v>
          </cell>
          <cell r="E223">
            <v>0</v>
          </cell>
          <cell r="G223">
            <v>43265</v>
          </cell>
          <cell r="H223" t="str">
            <v>RUA DOS ANDRADAS, Nº 1609</v>
          </cell>
          <cell r="I223" t="str">
            <v>CENTRO HISTÓRICO</v>
          </cell>
          <cell r="J223" t="str">
            <v>90020-013</v>
          </cell>
          <cell r="K223">
            <v>35</v>
          </cell>
          <cell r="L223" t="str">
            <v>RS</v>
          </cell>
          <cell r="M223" t="str">
            <v>00000000000</v>
          </cell>
          <cell r="N223">
            <v>0</v>
          </cell>
          <cell r="O223" t="str">
            <v>00000000000</v>
          </cell>
          <cell r="P223" t="str">
            <v>-</v>
          </cell>
          <cell r="Q223" t="str">
            <v>-</v>
          </cell>
          <cell r="S223" t="str">
            <v>-</v>
          </cell>
          <cell r="T223" t="str">
            <v>10609</v>
          </cell>
          <cell r="U223" t="str">
            <v>Locação do ponto foi cancelada.</v>
          </cell>
          <cell r="W223" t="str">
            <v>I</v>
          </cell>
        </row>
        <row r="224">
          <cell r="A224">
            <v>10608</v>
          </cell>
          <cell r="B224" t="str">
            <v>LOJA TRES PASSOS - RS</v>
          </cell>
          <cell r="C224">
            <v>389</v>
          </cell>
          <cell r="D224" t="str">
            <v>ANDRESSA DA SILVA DA SILVA</v>
          </cell>
          <cell r="E224">
            <v>763</v>
          </cell>
          <cell r="F224" t="str">
            <v>ADRIELE DA SILVA SOUZA</v>
          </cell>
          <cell r="G224">
            <v>43264</v>
          </cell>
          <cell r="H224" t="str">
            <v>RUA GETÚLIO VARGAS,  Nº 1087</v>
          </cell>
          <cell r="I224" t="str">
            <v>CENTRO</v>
          </cell>
          <cell r="J224" t="str">
            <v>98600-000</v>
          </cell>
          <cell r="K224">
            <v>54</v>
          </cell>
          <cell r="L224" t="str">
            <v>RS</v>
          </cell>
          <cell r="M224" t="str">
            <v>5531920211</v>
          </cell>
          <cell r="N224">
            <v>762</v>
          </cell>
          <cell r="O224" t="str">
            <v>5531920211</v>
          </cell>
          <cell r="P224" t="str">
            <v>loja10608@facta.com.br</v>
          </cell>
          <cell r="Q224" t="str">
            <v>leonara.santos@facta.com.br</v>
          </cell>
          <cell r="S224" t="str">
            <v>loja10608@facta.com.br</v>
          </cell>
          <cell r="T224" t="str">
            <v>10608</v>
          </cell>
          <cell r="U224" t="str">
            <v>24/07/23 Inativado - 4001195.</v>
          </cell>
          <cell r="W224" t="str">
            <v>I</v>
          </cell>
        </row>
        <row r="225">
          <cell r="A225">
            <v>45017</v>
          </cell>
          <cell r="B225" t="str">
            <v>LOJA BH - BARREIRO - MG</v>
          </cell>
          <cell r="C225">
            <v>0</v>
          </cell>
          <cell r="E225">
            <v>0</v>
          </cell>
          <cell r="G225">
            <v>43264</v>
          </cell>
          <cell r="H225" t="str">
            <v>RUA SINFRÔNIO BROCHADO, Nº 678</v>
          </cell>
          <cell r="I225" t="str">
            <v>BARREIRO</v>
          </cell>
          <cell r="J225" t="str">
            <v>30640-000</v>
          </cell>
          <cell r="K225">
            <v>660</v>
          </cell>
          <cell r="L225" t="str">
            <v>MG</v>
          </cell>
          <cell r="M225" t="str">
            <v>3199843519</v>
          </cell>
          <cell r="N225">
            <v>754</v>
          </cell>
          <cell r="O225" t="str">
            <v>3199843519</v>
          </cell>
          <cell r="P225" t="str">
            <v>simone.santos@facta.com.br</v>
          </cell>
          <cell r="Q225" t="str">
            <v>loja45017@factalojas.com.br</v>
          </cell>
          <cell r="S225" t="str">
            <v>loja45017@factalojas.com.br</v>
          </cell>
          <cell r="T225" t="str">
            <v>45017</v>
          </cell>
          <cell r="U225" t="str">
            <v>Loja encerrada.</v>
          </cell>
          <cell r="W225" t="str">
            <v>I</v>
          </cell>
        </row>
        <row r="226">
          <cell r="A226">
            <v>45018</v>
          </cell>
          <cell r="B226" t="str">
            <v>LOJA SANTA LUZIA - MG</v>
          </cell>
          <cell r="C226">
            <v>11192</v>
          </cell>
          <cell r="D226" t="str">
            <v>RENATO SOUZA DO ESPIRITO SANTO LANGA</v>
          </cell>
          <cell r="E226">
            <v>3026</v>
          </cell>
          <cell r="F226" t="str">
            <v>MAYARA NOVAIS LOPES</v>
          </cell>
          <cell r="G226">
            <v>43264</v>
          </cell>
          <cell r="H226" t="str">
            <v>AV. BRASILIA,  Nº 1838 LOJA 5</v>
          </cell>
          <cell r="I226" t="str">
            <v>SÃO BENEDITO</v>
          </cell>
          <cell r="J226" t="str">
            <v>33105-516</v>
          </cell>
          <cell r="K226">
            <v>970860</v>
          </cell>
          <cell r="L226" t="str">
            <v>MG</v>
          </cell>
          <cell r="M226" t="str">
            <v>3123420975</v>
          </cell>
          <cell r="N226">
            <v>769</v>
          </cell>
          <cell r="O226" t="str">
            <v>3123420975</v>
          </cell>
          <cell r="P226" t="str">
            <v>maria.santos@factalojas.com.br</v>
          </cell>
          <cell r="Q226" t="str">
            <v>maria.santos@factalojas.com.br</v>
          </cell>
          <cell r="S226" t="str">
            <v>loja45018@factalojas.com.br</v>
          </cell>
          <cell r="T226" t="str">
            <v>45018</v>
          </cell>
          <cell r="U226" t="str">
            <v/>
          </cell>
          <cell r="W226" t="str">
            <v>A</v>
          </cell>
        </row>
        <row r="227">
          <cell r="A227">
            <v>10604</v>
          </cell>
          <cell r="B227" t="str">
            <v>LOJA SANTIAGO  - RS</v>
          </cell>
          <cell r="C227">
            <v>9984</v>
          </cell>
          <cell r="D227" t="str">
            <v>FABIOLA DAL ROSSO</v>
          </cell>
          <cell r="E227">
            <v>763</v>
          </cell>
          <cell r="F227" t="str">
            <v>ADRIELE DA SILVA SOUZA</v>
          </cell>
          <cell r="G227">
            <v>43252</v>
          </cell>
          <cell r="H227" t="str">
            <v>RUA PINHEIRO MACHADO, 2034</v>
          </cell>
          <cell r="I227" t="str">
            <v>CENTRO</v>
          </cell>
          <cell r="J227" t="str">
            <v>97700-215</v>
          </cell>
          <cell r="K227">
            <v>25</v>
          </cell>
          <cell r="L227" t="str">
            <v>RS</v>
          </cell>
          <cell r="M227" t="str">
            <v>5531920242</v>
          </cell>
          <cell r="N227">
            <v>768</v>
          </cell>
          <cell r="O227" t="str">
            <v>5531920242</v>
          </cell>
          <cell r="P227" t="str">
            <v>eduardo.pinheiro@factalojas.com.br;loja10604@factalojas.com.br</v>
          </cell>
          <cell r="Q227" t="str">
            <v>fabiola.rosso@facta.com.br</v>
          </cell>
          <cell r="S227" t="str">
            <v>fabiola.rosso@facta.com.br</v>
          </cell>
          <cell r="T227" t="str">
            <v>10604</v>
          </cell>
          <cell r="U227" t="str">
            <v xml:space="preserve">_x000D_
</v>
          </cell>
          <cell r="W227" t="str">
            <v>A</v>
          </cell>
        </row>
        <row r="228">
          <cell r="A228">
            <v>10600</v>
          </cell>
          <cell r="B228" t="str">
            <v>LOJA ITAQUI - RS</v>
          </cell>
          <cell r="C228">
            <v>9984</v>
          </cell>
          <cell r="D228" t="str">
            <v>FABIOLA DAL ROSSO</v>
          </cell>
          <cell r="E228">
            <v>763</v>
          </cell>
          <cell r="F228" t="str">
            <v>ADRIELE DA SILVA SOUZA</v>
          </cell>
          <cell r="G228">
            <v>43249</v>
          </cell>
          <cell r="H228" t="str">
            <v>RUA BORGES DO CANTO,  Nº 1056</v>
          </cell>
          <cell r="I228" t="str">
            <v>CENTRO</v>
          </cell>
          <cell r="J228" t="str">
            <v>97650-000</v>
          </cell>
          <cell r="K228">
            <v>117</v>
          </cell>
          <cell r="L228" t="str">
            <v>RS</v>
          </cell>
          <cell r="M228" t="str">
            <v>5531920213</v>
          </cell>
          <cell r="N228">
            <v>763</v>
          </cell>
          <cell r="O228" t="str">
            <v>5531920213</v>
          </cell>
          <cell r="P228" t="str">
            <v>debora.freitas@factalojas.com.br</v>
          </cell>
          <cell r="Q228" t="str">
            <v>debora.freitas@factalojas.com.br</v>
          </cell>
          <cell r="S228" t="str">
            <v>debora.freitas@factalojas.com.br</v>
          </cell>
          <cell r="T228" t="str">
            <v>10600</v>
          </cell>
          <cell r="U228" t="str">
            <v/>
          </cell>
          <cell r="W228" t="str">
            <v>A</v>
          </cell>
        </row>
        <row r="229">
          <cell r="A229">
            <v>17207</v>
          </cell>
          <cell r="B229" t="str">
            <v>LOJA GOIANIA - SETOR CAMPINAS - GO</v>
          </cell>
          <cell r="C229">
            <v>14442</v>
          </cell>
          <cell r="D229" t="str">
            <v>ADRIELE FERNANDA VIEIRA DA SILVA</v>
          </cell>
          <cell r="E229">
            <v>3026</v>
          </cell>
          <cell r="F229" t="str">
            <v>MAYARA NOVAIS LOPES</v>
          </cell>
          <cell r="G229">
            <v>43242</v>
          </cell>
          <cell r="H229" t="str">
            <v>AV. 24 DE OUTUBRO, N.779 QD.43 LT.04 SL.01</v>
          </cell>
          <cell r="I229" t="str">
            <v xml:space="preserve">SETOR CAMPINAS </v>
          </cell>
          <cell r="J229" t="str">
            <v>74505-011</v>
          </cell>
          <cell r="K229">
            <v>1336</v>
          </cell>
          <cell r="L229" t="str">
            <v>GO</v>
          </cell>
          <cell r="M229" t="str">
            <v>6231421007</v>
          </cell>
          <cell r="N229">
            <v>740</v>
          </cell>
          <cell r="O229" t="str">
            <v>6231421007</v>
          </cell>
          <cell r="P229" t="str">
            <v>geovana.vaz@factalojas.com.br</v>
          </cell>
          <cell r="Q229" t="str">
            <v>geovana.vaz@factalojas.com.br</v>
          </cell>
          <cell r="S229" t="str">
            <v>loja17207@factalojas.com.br</v>
          </cell>
          <cell r="T229" t="str">
            <v>17207</v>
          </cell>
          <cell r="U229" t="str">
            <v/>
          </cell>
          <cell r="W229" t="str">
            <v>A</v>
          </cell>
        </row>
        <row r="230">
          <cell r="A230">
            <v>80969</v>
          </cell>
          <cell r="B230" t="str">
            <v>LOJA CARUARU - PE</v>
          </cell>
          <cell r="C230">
            <v>9798</v>
          </cell>
          <cell r="D230" t="str">
            <v>WHANDERSON MATHEUS ARAUJO DA COSTA</v>
          </cell>
          <cell r="E230">
            <v>5452</v>
          </cell>
          <cell r="F230" t="str">
            <v>CRISTIANE CARVALHO GEBELATTO</v>
          </cell>
          <cell r="G230">
            <v>43242</v>
          </cell>
          <cell r="H230" t="str">
            <v>RUA CORONEL LIMEIRA, Nº 049-C</v>
          </cell>
          <cell r="I230" t="str">
            <v>NOSSA SENHORA DAS DORES</v>
          </cell>
          <cell r="J230" t="str">
            <v>55025-065</v>
          </cell>
          <cell r="K230">
            <v>28615</v>
          </cell>
          <cell r="L230" t="str">
            <v>PE</v>
          </cell>
          <cell r="M230" t="str">
            <v>8131369186</v>
          </cell>
          <cell r="N230">
            <v>739</v>
          </cell>
          <cell r="O230" t="str">
            <v>8131369186</v>
          </cell>
          <cell r="P230" t="str">
            <v>jessica.teotonio@factalojas.com.br</v>
          </cell>
          <cell r="Q230" t="str">
            <v>loja80969@factalojas.com.br</v>
          </cell>
          <cell r="S230" t="str">
            <v>loja80969@factalojas.com.br</v>
          </cell>
          <cell r="T230" t="str">
            <v>80969</v>
          </cell>
          <cell r="U230" t="str">
            <v/>
          </cell>
          <cell r="W230" t="str">
            <v>A</v>
          </cell>
        </row>
        <row r="231">
          <cell r="A231">
            <v>14932</v>
          </cell>
          <cell r="B231" t="str">
            <v>LOJA NATAL - CIDADE ALTA - RN</v>
          </cell>
          <cell r="C231">
            <v>9798</v>
          </cell>
          <cell r="D231" t="str">
            <v>WHANDERSON MATHEUS ARAUJO DA COSTA</v>
          </cell>
          <cell r="E231">
            <v>5452</v>
          </cell>
          <cell r="F231" t="str">
            <v>CRISTIANE CARVALHO GEBELATTO</v>
          </cell>
          <cell r="G231">
            <v>43241</v>
          </cell>
          <cell r="H231" t="str">
            <v>RUA JOÃO PESSOA, Nº 219</v>
          </cell>
          <cell r="I231" t="str">
            <v>CIDADE ALTA</v>
          </cell>
          <cell r="J231" t="str">
            <v>59025-500</v>
          </cell>
          <cell r="K231">
            <v>1333</v>
          </cell>
          <cell r="L231" t="str">
            <v>RN</v>
          </cell>
          <cell r="M231" t="str">
            <v>8440422066</v>
          </cell>
          <cell r="N231">
            <v>737</v>
          </cell>
          <cell r="O231" t="str">
            <v>8440422066</v>
          </cell>
          <cell r="P231" t="str">
            <v>diarone.melo@factalojas.com.br</v>
          </cell>
          <cell r="Q231" t="str">
            <v>loja14932@factalojas.com.br</v>
          </cell>
          <cell r="S231" t="str">
            <v>loja14932@factalojas.com.br</v>
          </cell>
          <cell r="T231" t="str">
            <v>14932</v>
          </cell>
          <cell r="U231" t="str">
            <v/>
          </cell>
          <cell r="W231" t="str">
            <v>A</v>
          </cell>
        </row>
        <row r="232">
          <cell r="A232">
            <v>19750</v>
          </cell>
          <cell r="B232" t="str">
            <v>CENTRAL DE VENDAS RMC - RS</v>
          </cell>
          <cell r="C232">
            <v>3818</v>
          </cell>
          <cell r="D232" t="str">
            <v>EDER RENAN BAIRROS DE ALMEIDA</v>
          </cell>
          <cell r="E232">
            <v>7068</v>
          </cell>
          <cell r="F232" t="str">
            <v>CLEBER ROBERTO BARBOSA DOS SANTOS</v>
          </cell>
          <cell r="G232">
            <v>43215</v>
          </cell>
          <cell r="H232" t="str">
            <v>RUA VIGARIO JOSE INACIO 258/260 2 º ANDAR</v>
          </cell>
          <cell r="I232" t="str">
            <v>CENTRO</v>
          </cell>
          <cell r="J232" t="str">
            <v>90020-100</v>
          </cell>
          <cell r="K232">
            <v>35</v>
          </cell>
          <cell r="L232" t="str">
            <v>RS</v>
          </cell>
          <cell r="M232" t="str">
            <v>00000000000</v>
          </cell>
          <cell r="N232">
            <v>5080</v>
          </cell>
          <cell r="O232" t="str">
            <v>00000000000</v>
          </cell>
          <cell r="P232" t="str">
            <v>eder.almeida@facta.com.br</v>
          </cell>
          <cell r="Q232" t="str">
            <v>eder.almeida@facta.com.br</v>
          </cell>
          <cell r="S232" t="str">
            <v>william.boniatti@okeconsultoria.com.br</v>
          </cell>
          <cell r="T232" t="str">
            <v>19750</v>
          </cell>
          <cell r="W232" t="str">
            <v>I</v>
          </cell>
        </row>
        <row r="233">
          <cell r="A233">
            <v>31174</v>
          </cell>
          <cell r="B233" t="str">
            <v>LOJA ALMIRANTE TAMANDARE - PR</v>
          </cell>
          <cell r="C233">
            <v>10803</v>
          </cell>
          <cell r="D233" t="str">
            <v>JOAO GUALBERTO BRAZ JUNIOR</v>
          </cell>
          <cell r="E233">
            <v>3826</v>
          </cell>
          <cell r="F233" t="str">
            <v>CINARA REGINA KEMERICH</v>
          </cell>
          <cell r="G233">
            <v>43202</v>
          </cell>
          <cell r="H233" t="str">
            <v>AV. EMÍLIO JOHSON, Nº 174</v>
          </cell>
          <cell r="I233" t="str">
            <v>VILA SANTA TEREZINHA</v>
          </cell>
          <cell r="J233" t="str">
            <v>83501-000</v>
          </cell>
          <cell r="K233">
            <v>7018775</v>
          </cell>
          <cell r="L233" t="str">
            <v>PR</v>
          </cell>
          <cell r="N233">
            <v>735</v>
          </cell>
          <cell r="P233" t="str">
            <v>maria.mendes@factalojas.com.br</v>
          </cell>
          <cell r="Q233" t="str">
            <v>ana.ribeiro@factalojas.com.br</v>
          </cell>
          <cell r="S233" t="str">
            <v>loja31174@factalojas.com.br</v>
          </cell>
          <cell r="T233" t="str">
            <v>31174</v>
          </cell>
          <cell r="U233" t="str">
            <v/>
          </cell>
          <cell r="W233" t="str">
            <v>A</v>
          </cell>
        </row>
        <row r="234">
          <cell r="A234">
            <v>31175</v>
          </cell>
          <cell r="B234" t="str">
            <v>LOJA SAO JOSE DOS PINHAIS - PR</v>
          </cell>
          <cell r="C234">
            <v>10803</v>
          </cell>
          <cell r="D234" t="str">
            <v>JOAO GUALBERTO BRAZ JUNIOR</v>
          </cell>
          <cell r="E234">
            <v>3826</v>
          </cell>
          <cell r="F234" t="str">
            <v>CINARA REGINA KEMERICH</v>
          </cell>
          <cell r="G234">
            <v>43202</v>
          </cell>
          <cell r="H234" t="str">
            <v>RUA MARCELINO NOGUEIRA 190</v>
          </cell>
          <cell r="I234" t="str">
            <v>Braga</v>
          </cell>
          <cell r="J234" t="str">
            <v>83005-370</v>
          </cell>
          <cell r="K234">
            <v>970224</v>
          </cell>
          <cell r="L234" t="str">
            <v>PR</v>
          </cell>
          <cell r="N234">
            <v>736</v>
          </cell>
          <cell r="P234" t="str">
            <v>miriam.ferreira@factalojas.com.br</v>
          </cell>
          <cell r="Q234" t="str">
            <v>loja31175@factalojas.com.br</v>
          </cell>
          <cell r="S234" t="str">
            <v>loja31175@factalojas.com.br</v>
          </cell>
          <cell r="T234" t="str">
            <v>31175</v>
          </cell>
          <cell r="U234" t="str">
            <v/>
          </cell>
          <cell r="W234" t="str">
            <v>A</v>
          </cell>
        </row>
        <row r="235">
          <cell r="A235">
            <v>10897</v>
          </cell>
          <cell r="B235" t="str">
            <v>LOJA SAO BORJA - RS</v>
          </cell>
          <cell r="C235">
            <v>9984</v>
          </cell>
          <cell r="D235" t="str">
            <v>FABIOLA DAL ROSSO</v>
          </cell>
          <cell r="E235">
            <v>763</v>
          </cell>
          <cell r="F235" t="str">
            <v>ADRIELE DA SILVA SOUZA</v>
          </cell>
          <cell r="G235">
            <v>43175</v>
          </cell>
          <cell r="H235" t="str">
            <v>RUA CANDIDO FALCÃO, Nº 1086</v>
          </cell>
          <cell r="I235" t="str">
            <v>CENTRO</v>
          </cell>
          <cell r="J235" t="str">
            <v>97670-000</v>
          </cell>
          <cell r="K235">
            <v>45</v>
          </cell>
          <cell r="L235" t="str">
            <v>RS</v>
          </cell>
          <cell r="M235" t="str">
            <v>5531920212</v>
          </cell>
          <cell r="N235">
            <v>734</v>
          </cell>
          <cell r="O235" t="str">
            <v>5531920212</v>
          </cell>
          <cell r="P235" t="str">
            <v>michele.lopes@factalojas.com.br</v>
          </cell>
          <cell r="Q235" t="str">
            <v>fabiola.rosso@facta.com.br</v>
          </cell>
          <cell r="S235" t="str">
            <v>fabiola.rosso@facta.com.br</v>
          </cell>
          <cell r="T235" t="str">
            <v>10897</v>
          </cell>
          <cell r="U235" t="str">
            <v/>
          </cell>
          <cell r="W235" t="str">
            <v>A</v>
          </cell>
        </row>
        <row r="236">
          <cell r="A236">
            <v>10201</v>
          </cell>
          <cell r="B236" t="str">
            <v>LOJA ALEGRETE - RS</v>
          </cell>
          <cell r="C236">
            <v>9984</v>
          </cell>
          <cell r="D236" t="str">
            <v>FABIOLA DAL ROSSO</v>
          </cell>
          <cell r="E236">
            <v>763</v>
          </cell>
          <cell r="F236" t="str">
            <v>ADRIELE DA SILVA SOUZA</v>
          </cell>
          <cell r="G236">
            <v>43166</v>
          </cell>
          <cell r="H236" t="str">
            <v>R VASCO ALVES, 184 - SALA 3</v>
          </cell>
          <cell r="I236" t="str">
            <v>CENTRO</v>
          </cell>
          <cell r="J236" t="str">
            <v>97542-600</v>
          </cell>
          <cell r="K236">
            <v>12</v>
          </cell>
          <cell r="L236" t="str">
            <v>RS</v>
          </cell>
          <cell r="M236" t="str">
            <v>5531920214</v>
          </cell>
          <cell r="N236">
            <v>729</v>
          </cell>
          <cell r="O236" t="str">
            <v>5531920214</v>
          </cell>
          <cell r="P236" t="str">
            <v>fabiola.rosso@facta.com.br;loja10201@factalojas.com.br;jessica.guterres@factalojas.com.br</v>
          </cell>
          <cell r="Q236" t="str">
            <v>fabiola.rosso@facta.com.br;loja10201@factalojas.com.br;jessica.guterres@factalojas.com.br</v>
          </cell>
          <cell r="S236" t="str">
            <v>fabiola.rosso@facta.com.br;loja10201@factalojas.com.br;jessica.guterres@factalojas.com.br</v>
          </cell>
          <cell r="T236" t="str">
            <v>10201</v>
          </cell>
          <cell r="U236" t="str">
            <v/>
          </cell>
          <cell r="W236" t="str">
            <v>A</v>
          </cell>
        </row>
        <row r="237">
          <cell r="A237">
            <v>20989</v>
          </cell>
          <cell r="B237" t="str">
            <v>LOJA TUBARAO - SC</v>
          </cell>
          <cell r="C237">
            <v>6763</v>
          </cell>
          <cell r="D237" t="str">
            <v>JULIE BARBOSA</v>
          </cell>
          <cell r="E237">
            <v>763</v>
          </cell>
          <cell r="F237" t="str">
            <v>ADRIELE DA SILVA SOUZA</v>
          </cell>
          <cell r="G237">
            <v>43147</v>
          </cell>
          <cell r="H237" t="str">
            <v>AV RODOVALHO, 12 SALA 02</v>
          </cell>
          <cell r="I237" t="str">
            <v>CENTRO</v>
          </cell>
          <cell r="J237" t="str">
            <v>88701-001</v>
          </cell>
          <cell r="K237">
            <v>7017644</v>
          </cell>
          <cell r="L237" t="str">
            <v>SC</v>
          </cell>
          <cell r="M237" t="str">
            <v>4831990686</v>
          </cell>
          <cell r="N237">
            <v>728</v>
          </cell>
          <cell r="O237" t="str">
            <v>4831990686</v>
          </cell>
          <cell r="P237" t="str">
            <v>vanessa.andrade@factalojas.com.br</v>
          </cell>
          <cell r="Q237" t="str">
            <v>vanessa.andrade@factalojas.com.br</v>
          </cell>
          <cell r="S237" t="str">
            <v>loja20989@factalojas.com.br</v>
          </cell>
          <cell r="T237" t="str">
            <v>20989</v>
          </cell>
          <cell r="U237" t="str">
            <v/>
          </cell>
          <cell r="W237" t="str">
            <v>A</v>
          </cell>
        </row>
        <row r="238">
          <cell r="A238">
            <v>20990</v>
          </cell>
          <cell r="B238" t="str">
            <v>LOJA ARARANGUA - SC</v>
          </cell>
          <cell r="C238">
            <v>6763</v>
          </cell>
          <cell r="D238" t="str">
            <v>JULIE BARBOSA</v>
          </cell>
          <cell r="E238">
            <v>763</v>
          </cell>
          <cell r="F238" t="str">
            <v>ADRIELE DA SILVA SOUZA</v>
          </cell>
          <cell r="G238">
            <v>43147</v>
          </cell>
          <cell r="H238" t="str">
            <v>RUA DR.VIRGULINO DE QUEIROZ, 215 SALA 2</v>
          </cell>
          <cell r="I238" t="str">
            <v>CENTRO</v>
          </cell>
          <cell r="J238" t="str">
            <v>88900-009</v>
          </cell>
          <cell r="K238">
            <v>680</v>
          </cell>
          <cell r="L238" t="str">
            <v>SC</v>
          </cell>
          <cell r="M238" t="str">
            <v>4830459420</v>
          </cell>
          <cell r="N238">
            <v>726</v>
          </cell>
          <cell r="O238" t="str">
            <v>4830459420</v>
          </cell>
          <cell r="P238" t="str">
            <v>jessica.santana@factalojas.com.br</v>
          </cell>
          <cell r="Q238" t="str">
            <v>loja20990@factalojas.com.br</v>
          </cell>
          <cell r="S238" t="str">
            <v>loja20990@factalojas.com.br</v>
          </cell>
          <cell r="T238" t="str">
            <v>20990</v>
          </cell>
          <cell r="U238" t="str">
            <v/>
          </cell>
          <cell r="W238" t="str">
            <v>A</v>
          </cell>
        </row>
        <row r="239">
          <cell r="A239">
            <v>20987</v>
          </cell>
          <cell r="B239" t="str">
            <v>LOJA CRICIUMA - SC</v>
          </cell>
          <cell r="C239">
            <v>6763</v>
          </cell>
          <cell r="D239" t="str">
            <v>JULIE BARBOSA</v>
          </cell>
          <cell r="E239">
            <v>763</v>
          </cell>
          <cell r="F239" t="str">
            <v>ADRIELE DA SILVA SOUZA</v>
          </cell>
          <cell r="G239">
            <v>43145</v>
          </cell>
          <cell r="H239" t="str">
            <v>SAO JOSE 135 sla 7</v>
          </cell>
          <cell r="I239" t="str">
            <v>CENTRO</v>
          </cell>
          <cell r="J239" t="str">
            <v>88801-520</v>
          </cell>
          <cell r="K239">
            <v>182</v>
          </cell>
          <cell r="L239" t="str">
            <v>SC</v>
          </cell>
          <cell r="M239" t="str">
            <v>4830459421</v>
          </cell>
          <cell r="N239">
            <v>727</v>
          </cell>
          <cell r="O239" t="str">
            <v>4830459421</v>
          </cell>
          <cell r="P239" t="str">
            <v>juliana.marcello@factalojas.com.br</v>
          </cell>
          <cell r="Q239" t="str">
            <v>juliana.marcello@factalojas.com.br</v>
          </cell>
          <cell r="S239" t="str">
            <v>loja20987@factalojas.com.br</v>
          </cell>
          <cell r="T239" t="str">
            <v>20987</v>
          </cell>
          <cell r="U239" t="str">
            <v/>
          </cell>
          <cell r="W239" t="str">
            <v>A</v>
          </cell>
        </row>
        <row r="240">
          <cell r="A240">
            <v>11950</v>
          </cell>
          <cell r="B240" t="str">
            <v>LOJA VILA VELHA - ES</v>
          </cell>
          <cell r="C240">
            <v>3467</v>
          </cell>
          <cell r="D240" t="str">
            <v>GISELLE MORAES SCHNEIDER</v>
          </cell>
          <cell r="E240">
            <v>6621</v>
          </cell>
          <cell r="F240" t="str">
            <v>THAYSA SANDIM DE SOUZA</v>
          </cell>
          <cell r="G240">
            <v>43073</v>
          </cell>
          <cell r="H240" t="str">
            <v>RODOVIA CARLOS LINDEMBERG 799, LOJA</v>
          </cell>
          <cell r="I240" t="str">
            <v>GLÓRIA</v>
          </cell>
          <cell r="J240" t="str">
            <v>29122-355</v>
          </cell>
          <cell r="K240">
            <v>2345</v>
          </cell>
          <cell r="L240" t="str">
            <v>ES</v>
          </cell>
          <cell r="M240" t="str">
            <v>2740424232</v>
          </cell>
          <cell r="N240">
            <v>725</v>
          </cell>
          <cell r="O240" t="str">
            <v>2740424232</v>
          </cell>
          <cell r="P240" t="str">
            <v>loja11950@factalojas.com.br</v>
          </cell>
          <cell r="Q240" t="str">
            <v>caroline.goes@factalojas.com.br</v>
          </cell>
          <cell r="S240" t="str">
            <v>loja11950@factalojas.com.br</v>
          </cell>
          <cell r="T240" t="str">
            <v>VILAVELHA</v>
          </cell>
          <cell r="U240" t="str">
            <v xml:space="preserve">_x000D_
</v>
          </cell>
          <cell r="W240" t="str">
            <v>A</v>
          </cell>
        </row>
        <row r="241">
          <cell r="A241">
            <v>10200</v>
          </cell>
          <cell r="B241" t="str">
            <v>LOJA RIO GRANDE - RS</v>
          </cell>
          <cell r="C241">
            <v>10656</v>
          </cell>
          <cell r="D241" t="str">
            <v>VIVIANE FAGUNDES DE MELLO</v>
          </cell>
          <cell r="E241">
            <v>763</v>
          </cell>
          <cell r="F241" t="str">
            <v>ADRIELE DA SILVA SOUZA</v>
          </cell>
          <cell r="G241">
            <v>43063</v>
          </cell>
          <cell r="H241" t="str">
            <v>MARECHAL FLORIANO 290</v>
          </cell>
          <cell r="I241" t="str">
            <v>CENTRO</v>
          </cell>
          <cell r="J241" t="str">
            <v>96200-380</v>
          </cell>
          <cell r="K241">
            <v>15</v>
          </cell>
          <cell r="L241" t="str">
            <v>RS</v>
          </cell>
          <cell r="M241" t="str">
            <v>5330551075</v>
          </cell>
          <cell r="N241">
            <v>419</v>
          </cell>
          <cell r="O241" t="str">
            <v>5330551075</v>
          </cell>
          <cell r="P241" t="str">
            <v>michelle.conceicao@factalojas.com.br</v>
          </cell>
          <cell r="Q241" t="str">
            <v>viviane.mello@facta.com.br</v>
          </cell>
          <cell r="S241" t="str">
            <v>loja10200@factalojas.com.br</v>
          </cell>
          <cell r="T241" t="str">
            <v>10200</v>
          </cell>
          <cell r="U241" t="str">
            <v/>
          </cell>
          <cell r="W241" t="str">
            <v>A</v>
          </cell>
        </row>
        <row r="242">
          <cell r="A242">
            <v>7800</v>
          </cell>
          <cell r="B242" t="str">
            <v>LOJA CAJAZEIRAS - BA</v>
          </cell>
          <cell r="C242">
            <v>12518</v>
          </cell>
          <cell r="D242" t="str">
            <v>LUANA SANTOS FURMANEK</v>
          </cell>
          <cell r="E242">
            <v>5452</v>
          </cell>
          <cell r="F242" t="str">
            <v>CRISTIANE CARVALHO GEBELATTO</v>
          </cell>
          <cell r="G242">
            <v>43048</v>
          </cell>
          <cell r="H242" t="str">
            <v>ESTRADA DO COQUEIRO GRANDE, 21A</v>
          </cell>
          <cell r="I242" t="str">
            <v>FAZENDA GRANDE II</v>
          </cell>
          <cell r="J242" t="str">
            <v>41340-050</v>
          </cell>
          <cell r="K242">
            <v>1002</v>
          </cell>
          <cell r="L242" t="str">
            <v>BA</v>
          </cell>
          <cell r="M242" t="str">
            <v>7140421399</v>
          </cell>
          <cell r="N242">
            <v>722</v>
          </cell>
          <cell r="O242" t="str">
            <v>7140421399</v>
          </cell>
          <cell r="P242" t="str">
            <v>rosecleide.barbosa@factalojas.com.br</v>
          </cell>
          <cell r="Q242" t="str">
            <v>loja7800@factalojas.com.br</v>
          </cell>
          <cell r="S242" t="str">
            <v>loja7800@factalojas.com.br</v>
          </cell>
          <cell r="T242" t="str">
            <v>7800</v>
          </cell>
          <cell r="U242" t="str">
            <v/>
          </cell>
          <cell r="W242" t="str">
            <v>A</v>
          </cell>
        </row>
        <row r="243">
          <cell r="A243">
            <v>19714</v>
          </cell>
          <cell r="B243" t="str">
            <v>LOJA TRES COROAS - RS</v>
          </cell>
          <cell r="C243">
            <v>7835</v>
          </cell>
          <cell r="D243" t="str">
            <v>JOSIANE DE SOUZA MONTEIRO DOS SANTOS</v>
          </cell>
          <cell r="E243">
            <v>763</v>
          </cell>
          <cell r="F243" t="str">
            <v>ADRIELE DA SILVA SOUZA</v>
          </cell>
          <cell r="G243">
            <v>42948</v>
          </cell>
          <cell r="H243" t="str">
            <v>RUA MUNDO NOVO 188</v>
          </cell>
          <cell r="I243" t="str">
            <v>CENTRO</v>
          </cell>
          <cell r="J243" t="str">
            <v>95660-000</v>
          </cell>
          <cell r="K243">
            <v>109</v>
          </cell>
          <cell r="L243" t="str">
            <v>RS</v>
          </cell>
          <cell r="M243" t="str">
            <v>5135008534</v>
          </cell>
          <cell r="N243">
            <v>720</v>
          </cell>
          <cell r="O243" t="str">
            <v>5135008534</v>
          </cell>
          <cell r="P243" t="str">
            <v>eliezer.rodrigues@factalojas.com.br</v>
          </cell>
          <cell r="Q243" t="str">
            <v>josiane.santos@facta.com.br</v>
          </cell>
          <cell r="S243" t="str">
            <v>loja19714@factalojas.com.br</v>
          </cell>
          <cell r="T243" t="str">
            <v>19714</v>
          </cell>
          <cell r="U243" t="str">
            <v/>
          </cell>
          <cell r="W243" t="str">
            <v>A</v>
          </cell>
        </row>
        <row r="244">
          <cell r="A244">
            <v>19715</v>
          </cell>
          <cell r="B244" t="str">
            <v>LOJA CRUZ ALTA - RS</v>
          </cell>
          <cell r="C244">
            <v>5428</v>
          </cell>
          <cell r="D244" t="str">
            <v>DANIELA DO CARMO CAMPARA</v>
          </cell>
          <cell r="E244">
            <v>763</v>
          </cell>
          <cell r="F244" t="str">
            <v>ADRIELE DA SILVA SOUZA</v>
          </cell>
          <cell r="G244">
            <v>42948</v>
          </cell>
          <cell r="H244" t="str">
            <v>RUA PINHEIRO MACHADO 865, SL 1</v>
          </cell>
          <cell r="I244" t="str">
            <v>CENTRO</v>
          </cell>
          <cell r="J244" t="str">
            <v>98005-000</v>
          </cell>
          <cell r="K244">
            <v>4</v>
          </cell>
          <cell r="L244" t="str">
            <v>RS</v>
          </cell>
          <cell r="M244" t="str">
            <v>5533034520</v>
          </cell>
          <cell r="N244">
            <v>721</v>
          </cell>
          <cell r="O244" t="str">
            <v>5533034520</v>
          </cell>
          <cell r="P244" t="str">
            <v>vanessa.lasch@factalojas.com.br</v>
          </cell>
          <cell r="Q244" t="str">
            <v>vanessa.lasch@factalojas.com.br</v>
          </cell>
          <cell r="S244" t="str">
            <v>loja19715@factalojas.com.br;vanessa.lasch@factalojas.com.br</v>
          </cell>
          <cell r="T244" t="str">
            <v>19715</v>
          </cell>
          <cell r="U244" t="str">
            <v xml:space="preserve">_x000D_
</v>
          </cell>
          <cell r="W244" t="str">
            <v>A</v>
          </cell>
        </row>
        <row r="245">
          <cell r="A245">
            <v>18105</v>
          </cell>
          <cell r="B245" t="str">
            <v>LOJA CAMPINA GRANDE - PB</v>
          </cell>
          <cell r="C245">
            <v>9798</v>
          </cell>
          <cell r="D245" t="str">
            <v>WHANDERSON MATHEUS ARAUJO DA COSTA</v>
          </cell>
          <cell r="E245">
            <v>5452</v>
          </cell>
          <cell r="F245" t="str">
            <v>CRISTIANE CARVALHO GEBELATTO</v>
          </cell>
          <cell r="G245">
            <v>42944</v>
          </cell>
          <cell r="H245" t="str">
            <v>RUA EPITACIO PESSOA 166</v>
          </cell>
          <cell r="I245" t="str">
            <v>CENTRO</v>
          </cell>
          <cell r="J245" t="str">
            <v>58400-025</v>
          </cell>
          <cell r="K245">
            <v>29036</v>
          </cell>
          <cell r="L245" t="str">
            <v>PB</v>
          </cell>
          <cell r="M245" t="str">
            <v>8330659194</v>
          </cell>
          <cell r="N245">
            <v>719</v>
          </cell>
          <cell r="O245" t="str">
            <v>8330659194</v>
          </cell>
          <cell r="P245" t="str">
            <v>loja18105@factalojas.com.br</v>
          </cell>
          <cell r="Q245" t="str">
            <v>loja18105@factalojas.com.br</v>
          </cell>
          <cell r="S245" t="str">
            <v>loja18105@factalojas.com.br</v>
          </cell>
          <cell r="T245" t="str">
            <v>18105</v>
          </cell>
          <cell r="U245" t="str">
            <v/>
          </cell>
          <cell r="W245" t="str">
            <v>A</v>
          </cell>
        </row>
        <row r="246">
          <cell r="A246">
            <v>19709</v>
          </cell>
          <cell r="B246" t="str">
            <v>LOJA SANTO ANGELO - RS</v>
          </cell>
          <cell r="C246">
            <v>9984</v>
          </cell>
          <cell r="D246" t="str">
            <v>FABIOLA DAL ROSSO</v>
          </cell>
          <cell r="E246">
            <v>763</v>
          </cell>
          <cell r="F246" t="str">
            <v>ADRIELE DA SILVA SOUZA</v>
          </cell>
          <cell r="G246">
            <v>42943</v>
          </cell>
          <cell r="H246" t="str">
            <v>RUA 25 DE JULHO 584, SL 3</v>
          </cell>
          <cell r="I246" t="str">
            <v>CENTRO</v>
          </cell>
          <cell r="J246" t="str">
            <v>98801-670</v>
          </cell>
          <cell r="K246">
            <v>3</v>
          </cell>
          <cell r="L246" t="str">
            <v>RS</v>
          </cell>
          <cell r="M246" t="str">
            <v>5533122368</v>
          </cell>
          <cell r="N246">
            <v>717</v>
          </cell>
          <cell r="O246" t="str">
            <v>5533122368</v>
          </cell>
          <cell r="P246" t="str">
            <v>kris.nunes@factalojas.com.br</v>
          </cell>
          <cell r="Q246" t="str">
            <v>lucimara.eich@factalojas.com.br</v>
          </cell>
          <cell r="S246" t="str">
            <v>loja19709@factalojas.com.br</v>
          </cell>
          <cell r="T246" t="str">
            <v>19709</v>
          </cell>
          <cell r="U246" t="str">
            <v/>
          </cell>
          <cell r="W246" t="str">
            <v>A</v>
          </cell>
        </row>
        <row r="247">
          <cell r="A247">
            <v>19710</v>
          </cell>
          <cell r="B247" t="str">
            <v>LOJA ROSARIO DO SUL - RS</v>
          </cell>
          <cell r="C247">
            <v>9984</v>
          </cell>
          <cell r="D247" t="str">
            <v>FABIOLA DAL ROSSO</v>
          </cell>
          <cell r="E247">
            <v>763</v>
          </cell>
          <cell r="F247" t="str">
            <v>ADRIELE DA SILVA SOUZA</v>
          </cell>
          <cell r="G247">
            <v>42943</v>
          </cell>
          <cell r="H247" t="str">
            <v>RUA MARECHAL FLORIANO PEIXOTO 2401</v>
          </cell>
          <cell r="I247" t="str">
            <v>CENTRO</v>
          </cell>
          <cell r="J247" t="str">
            <v>97590-000</v>
          </cell>
          <cell r="K247">
            <v>39</v>
          </cell>
          <cell r="L247" t="str">
            <v>RS</v>
          </cell>
          <cell r="M247" t="str">
            <v>5531920241</v>
          </cell>
          <cell r="N247">
            <v>718</v>
          </cell>
          <cell r="O247" t="str">
            <v>5531920241</v>
          </cell>
          <cell r="P247" t="str">
            <v>fabiola.rosso@facta.com.br;sara.velasques@factalojas.com.br;loja19710@factalojas.com.br</v>
          </cell>
          <cell r="Q247" t="str">
            <v>fabiola.rosso@facta.com.br</v>
          </cell>
          <cell r="S247" t="str">
            <v>fabiola.rosso@facta.com.br</v>
          </cell>
          <cell r="T247" t="str">
            <v>19710</v>
          </cell>
          <cell r="U247" t="str">
            <v/>
          </cell>
          <cell r="W247" t="str">
            <v>A</v>
          </cell>
        </row>
        <row r="248">
          <cell r="A248">
            <v>19201</v>
          </cell>
          <cell r="B248" t="str">
            <v>LOJA CUIABA - MT</v>
          </cell>
          <cell r="C248">
            <v>14442</v>
          </cell>
          <cell r="D248" t="str">
            <v>ADRIELE FERNANDA VIEIRA DA SILVA</v>
          </cell>
          <cell r="E248">
            <v>3026</v>
          </cell>
          <cell r="F248" t="str">
            <v>MAYARA NOVAIS LOPES</v>
          </cell>
          <cell r="G248">
            <v>42942</v>
          </cell>
          <cell r="H248" t="str">
            <v>RUA BARÃO DE MELGAÇO 3525, SL 3</v>
          </cell>
          <cell r="I248" t="str">
            <v xml:space="preserve">CENTRO-NORTE </v>
          </cell>
          <cell r="J248" t="str">
            <v>78005-300</v>
          </cell>
          <cell r="K248">
            <v>996</v>
          </cell>
          <cell r="L248" t="str">
            <v>MT</v>
          </cell>
          <cell r="M248" t="str">
            <v>6530510321</v>
          </cell>
          <cell r="N248">
            <v>715</v>
          </cell>
          <cell r="O248" t="str">
            <v>6530510321</v>
          </cell>
          <cell r="P248" t="str">
            <v>lucelia.brum@factalojas.com.br</v>
          </cell>
          <cell r="Q248" t="str">
            <v>lucelia.brum@factalojas.com.br</v>
          </cell>
          <cell r="S248" t="str">
            <v>lucelia.brum@factalojas.com.br</v>
          </cell>
          <cell r="T248" t="str">
            <v>19201</v>
          </cell>
          <cell r="U248" t="str">
            <v/>
          </cell>
          <cell r="W248" t="str">
            <v>A</v>
          </cell>
        </row>
        <row r="249">
          <cell r="A249">
            <v>19707</v>
          </cell>
          <cell r="B249" t="str">
            <v>LOJA CANGUCU - RS</v>
          </cell>
          <cell r="G249">
            <v>42942</v>
          </cell>
          <cell r="H249" t="str">
            <v>Avenida 20 de Setembro</v>
          </cell>
          <cell r="I249" t="str">
            <v>Centro</v>
          </cell>
          <cell r="J249" t="str">
            <v>96600-000</v>
          </cell>
          <cell r="K249">
            <v>46</v>
          </cell>
          <cell r="L249" t="str">
            <v>RS</v>
          </cell>
          <cell r="M249" t="str">
            <v>5332522844</v>
          </cell>
          <cell r="N249">
            <v>714</v>
          </cell>
          <cell r="O249" t="str">
            <v>5332522844</v>
          </cell>
          <cell r="P249" t="str">
            <v>caroline.ulguim@factalojas.com.br</v>
          </cell>
          <cell r="Q249" t="str">
            <v>viviane.mello@facta.com.br</v>
          </cell>
          <cell r="S249" t="str">
            <v>loja19707@factalojas.com.br</v>
          </cell>
          <cell r="T249" t="str">
            <v>19707</v>
          </cell>
          <cell r="U249" t="str">
            <v>06/12/24 - Inativado (Encerramento Atividades).</v>
          </cell>
          <cell r="W249" t="str">
            <v>I</v>
          </cell>
        </row>
        <row r="250">
          <cell r="A250">
            <v>20060</v>
          </cell>
          <cell r="B250" t="str">
            <v>LOJA TERESINA - PI</v>
          </cell>
          <cell r="C250">
            <v>5313</v>
          </cell>
          <cell r="D250" t="str">
            <v>LUCIANE DA SILVA FONSECA PINHEIRO</v>
          </cell>
          <cell r="E250">
            <v>3026</v>
          </cell>
          <cell r="F250" t="str">
            <v>MAYARA NOVAIS LOPES</v>
          </cell>
          <cell r="G250">
            <v>42942</v>
          </cell>
          <cell r="H250" t="str">
            <v>RUA 24 DE JANEIRO 265, LJ 8</v>
          </cell>
          <cell r="I250" t="str">
            <v>CENTRO/NORTE</v>
          </cell>
          <cell r="J250" t="str">
            <v>64000-235</v>
          </cell>
          <cell r="K250">
            <v>24444</v>
          </cell>
          <cell r="L250" t="str">
            <v>PI</v>
          </cell>
          <cell r="M250" t="str">
            <v>8633037216</v>
          </cell>
          <cell r="N250">
            <v>716</v>
          </cell>
          <cell r="O250" t="str">
            <v>8633037216</v>
          </cell>
          <cell r="P250" t="str">
            <v>marciele.vieira@facta.com.br</v>
          </cell>
          <cell r="Q250" t="str">
            <v xml:space="preserve">marciele.vieira@facta.com.br </v>
          </cell>
          <cell r="S250" t="str">
            <v>loja20060@facta.com.br</v>
          </cell>
          <cell r="T250" t="str">
            <v>20060</v>
          </cell>
          <cell r="U250" t="str">
            <v>05/04/23 - Inativ 3852740.</v>
          </cell>
          <cell r="W250" t="str">
            <v>I</v>
          </cell>
        </row>
        <row r="251">
          <cell r="A251">
            <v>19705</v>
          </cell>
          <cell r="B251" t="str">
            <v>LOJA VENANCIO AIRES - RS</v>
          </cell>
          <cell r="C251">
            <v>5428</v>
          </cell>
          <cell r="D251" t="str">
            <v>DANIELA DO CARMO CAMPARA</v>
          </cell>
          <cell r="E251">
            <v>763</v>
          </cell>
          <cell r="F251" t="str">
            <v>ADRIELE DA SILVA SOUZA</v>
          </cell>
          <cell r="G251">
            <v>42933</v>
          </cell>
          <cell r="H251" t="str">
            <v>RUA OSVALDO ARANHA, 1268</v>
          </cell>
          <cell r="I251" t="str">
            <v>CENTRO</v>
          </cell>
          <cell r="J251" t="str">
            <v>95800-000</v>
          </cell>
          <cell r="K251">
            <v>6785253</v>
          </cell>
          <cell r="L251" t="str">
            <v>RS</v>
          </cell>
          <cell r="M251" t="str">
            <v>5127970466</v>
          </cell>
          <cell r="N251">
            <v>713</v>
          </cell>
          <cell r="O251" t="str">
            <v>5127970466</v>
          </cell>
          <cell r="P251" t="str">
            <v>daniele.rosa@factalojas.com.br</v>
          </cell>
          <cell r="Q251" t="str">
            <v>cinara.kemerich@facta.com.br</v>
          </cell>
          <cell r="S251" t="str">
            <v>loja19705@factalojas.com.br</v>
          </cell>
          <cell r="T251" t="str">
            <v>19705</v>
          </cell>
          <cell r="W251" t="str">
            <v>A</v>
          </cell>
        </row>
        <row r="252">
          <cell r="A252">
            <v>19701</v>
          </cell>
          <cell r="B252" t="str">
            <v>LOJA LAJEADO - RS</v>
          </cell>
          <cell r="C252">
            <v>5428</v>
          </cell>
          <cell r="D252" t="str">
            <v>DANIELA DO CARMO CAMPARA</v>
          </cell>
          <cell r="E252">
            <v>763</v>
          </cell>
          <cell r="F252" t="str">
            <v>ADRIELE DA SILVA SOUZA</v>
          </cell>
          <cell r="G252">
            <v>42927</v>
          </cell>
          <cell r="H252" t="str">
            <v>RUA FRANCISCO OSCAR KARNAL - Nº 333 LOJA 103</v>
          </cell>
          <cell r="I252" t="str">
            <v>CENTRO</v>
          </cell>
          <cell r="J252" t="str">
            <v>95900-180</v>
          </cell>
          <cell r="K252">
            <v>36</v>
          </cell>
          <cell r="L252" t="str">
            <v>RS</v>
          </cell>
          <cell r="N252">
            <v>712</v>
          </cell>
          <cell r="P252" t="str">
            <v>caroline.marros@factalojas.com.br</v>
          </cell>
          <cell r="Q252" t="str">
            <v>hellen.scheid@factalojas.com.br</v>
          </cell>
          <cell r="S252" t="str">
            <v>loja.19701@factalojas.com.br</v>
          </cell>
          <cell r="T252" t="str">
            <v>19701</v>
          </cell>
          <cell r="U252" t="str">
            <v/>
          </cell>
          <cell r="W252" t="str">
            <v>A</v>
          </cell>
        </row>
        <row r="253">
          <cell r="A253">
            <v>19880</v>
          </cell>
          <cell r="B253" t="str">
            <v>LOJA SANTA CRUZ DO SUL - RS</v>
          </cell>
          <cell r="C253">
            <v>0</v>
          </cell>
          <cell r="E253">
            <v>0</v>
          </cell>
          <cell r="G253">
            <v>42894</v>
          </cell>
          <cell r="H253" t="str">
            <v>RUA TENENTE CORONEL BRITO, 719</v>
          </cell>
          <cell r="I253" t="str">
            <v>CENTRO</v>
          </cell>
          <cell r="J253" t="str">
            <v>96810-114</v>
          </cell>
          <cell r="K253">
            <v>5</v>
          </cell>
          <cell r="L253" t="str">
            <v>RS</v>
          </cell>
          <cell r="M253" t="str">
            <v>5596993091</v>
          </cell>
          <cell r="N253">
            <v>710</v>
          </cell>
          <cell r="O253" t="str">
            <v>5596993091</v>
          </cell>
          <cell r="P253" t="str">
            <v>vanusa.osto@factalojas.com.br</v>
          </cell>
          <cell r="Q253" t="str">
            <v>amanda.henkes@factalojas.com.br</v>
          </cell>
          <cell r="S253" t="str">
            <v>amanda.henkes@factalojas.com.br</v>
          </cell>
          <cell r="T253" t="str">
            <v>19880</v>
          </cell>
          <cell r="U253" t="str">
            <v xml:space="preserve">_x000D_
06/12/2024 - Inativação orientada pelo Cleber. Email Auditoria. </v>
          </cell>
          <cell r="W253" t="str">
            <v>I</v>
          </cell>
        </row>
        <row r="254">
          <cell r="A254">
            <v>19881</v>
          </cell>
          <cell r="B254" t="str">
            <v>LOJA SAO LUIZ GONZAGA - RS</v>
          </cell>
          <cell r="C254">
            <v>0</v>
          </cell>
          <cell r="E254">
            <v>0</v>
          </cell>
          <cell r="G254">
            <v>42894</v>
          </cell>
          <cell r="H254" t="str">
            <v>RUA TREZE DE MAIO, 1259, SALA 03</v>
          </cell>
          <cell r="I254" t="str">
            <v>CENTRO</v>
          </cell>
          <cell r="J254" t="str">
            <v>97800-000</v>
          </cell>
          <cell r="K254">
            <v>48</v>
          </cell>
          <cell r="L254" t="str">
            <v>RS</v>
          </cell>
          <cell r="M254" t="str">
            <v xml:space="preserve">5531920249 </v>
          </cell>
          <cell r="N254">
            <v>711</v>
          </cell>
          <cell r="O254" t="str">
            <v xml:space="preserve">5531920249 </v>
          </cell>
          <cell r="P254" t="str">
            <v>larissa.willms@facta.com.br</v>
          </cell>
          <cell r="Q254" t="str">
            <v>larissa.willms@facta.com.br</v>
          </cell>
          <cell r="S254" t="str">
            <v>maikel.camargo@facta.com.br</v>
          </cell>
          <cell r="T254" t="str">
            <v/>
          </cell>
          <cell r="U254" t="str">
            <v>24/07/23 Inativado - 4001195.</v>
          </cell>
          <cell r="W254" t="str">
            <v>I</v>
          </cell>
        </row>
        <row r="255">
          <cell r="A255">
            <v>19890</v>
          </cell>
          <cell r="B255" t="str">
            <v>LOJA SOLEDADE - RS</v>
          </cell>
          <cell r="C255">
            <v>5428</v>
          </cell>
          <cell r="D255" t="str">
            <v>DANIELA DO CARMO CAMPARA</v>
          </cell>
          <cell r="E255">
            <v>763</v>
          </cell>
          <cell r="F255" t="str">
            <v>ADRIELE DA SILVA SOUZA</v>
          </cell>
          <cell r="G255">
            <v>42894</v>
          </cell>
          <cell r="H255" t="str">
            <v>AV MAL FLORIANO PEIXOTO, 1063</v>
          </cell>
          <cell r="I255" t="str">
            <v>CENTRO</v>
          </cell>
          <cell r="J255" t="str">
            <v>99300-000</v>
          </cell>
          <cell r="K255">
            <v>135</v>
          </cell>
          <cell r="L255" t="str">
            <v>RS</v>
          </cell>
          <cell r="M255" t="str">
            <v>5436989827</v>
          </cell>
          <cell r="N255">
            <v>709</v>
          </cell>
          <cell r="O255" t="str">
            <v>5436989827</v>
          </cell>
          <cell r="P255" t="str">
            <v>giovana.bettin@factalojas.com.br</v>
          </cell>
          <cell r="Q255" t="str">
            <v>giovana.bettin@factalojas.com.br</v>
          </cell>
          <cell r="S255" t="str">
            <v>loja198900@factalojas.com.br</v>
          </cell>
          <cell r="T255" t="str">
            <v>loja.19890</v>
          </cell>
          <cell r="U255" t="str">
            <v/>
          </cell>
          <cell r="W255" t="str">
            <v>A</v>
          </cell>
        </row>
        <row r="256">
          <cell r="A256">
            <v>19933</v>
          </cell>
          <cell r="B256" t="str">
            <v>LOJA SANTIAGO 1 - RS</v>
          </cell>
          <cell r="E256">
            <v>5445</v>
          </cell>
          <cell r="F256" t="str">
            <v>CLEBERTON JUNIOR PIRES BIALVA</v>
          </cell>
          <cell r="G256">
            <v>42710</v>
          </cell>
          <cell r="H256" t="str">
            <v>RUA GETULIO VARGAS 1723 SALA 2</v>
          </cell>
          <cell r="I256" t="str">
            <v xml:space="preserve">CENTRO </v>
          </cell>
          <cell r="J256" t="str">
            <v>97700-000</v>
          </cell>
          <cell r="K256">
            <v>25</v>
          </cell>
          <cell r="L256" t="str">
            <v>RS</v>
          </cell>
          <cell r="M256" t="str">
            <v xml:space="preserve">5595882435 </v>
          </cell>
          <cell r="N256">
            <v>707</v>
          </cell>
          <cell r="O256" t="str">
            <v xml:space="preserve">5595882435 </v>
          </cell>
          <cell r="P256" t="str">
            <v>cleberton.bialva@facta.com.br</v>
          </cell>
          <cell r="Q256" t="str">
            <v>cleberton.bialva@facta.com.br</v>
          </cell>
          <cell r="S256" t="str">
            <v>loja19933@facta.com.br</v>
          </cell>
          <cell r="T256" t="str">
            <v>19933</v>
          </cell>
          <cell r="W256" t="str">
            <v>A</v>
          </cell>
        </row>
        <row r="257">
          <cell r="A257">
            <v>19902</v>
          </cell>
          <cell r="B257" t="str">
            <v>LOJA PORTO ALEGRE - OSVALDO ARANHA 2 - RS</v>
          </cell>
          <cell r="C257">
            <v>3483</v>
          </cell>
          <cell r="D257" t="str">
            <v>LARISSA OLIVEIRA BARBOZA</v>
          </cell>
          <cell r="E257">
            <v>3826</v>
          </cell>
          <cell r="F257" t="str">
            <v>CINARA REGINA KEMERICH</v>
          </cell>
          <cell r="G257">
            <v>42656</v>
          </cell>
          <cell r="H257" t="str">
            <v>RUA OSVALDO ARANHA 924</v>
          </cell>
          <cell r="I257" t="str">
            <v>Bom Fim</v>
          </cell>
          <cell r="J257" t="str">
            <v>90035-191</v>
          </cell>
          <cell r="K257">
            <v>35</v>
          </cell>
          <cell r="L257" t="str">
            <v>RS</v>
          </cell>
          <cell r="M257" t="str">
            <v>5133721005</v>
          </cell>
          <cell r="N257">
            <v>706</v>
          </cell>
          <cell r="O257" t="str">
            <v>5133721005</v>
          </cell>
          <cell r="P257" t="str">
            <v>loja1401@facta.com.br</v>
          </cell>
          <cell r="Q257" t="str">
            <v>lisiane.silva@facta.com.br</v>
          </cell>
          <cell r="S257" t="str">
            <v>loja19902@factalojas.com.br</v>
          </cell>
          <cell r="T257" t="str">
            <v>19902</v>
          </cell>
          <cell r="U257" t="str">
            <v>05/04/23 - Inativ 3852740.</v>
          </cell>
          <cell r="W257" t="str">
            <v>I</v>
          </cell>
        </row>
        <row r="258">
          <cell r="A258">
            <v>19901</v>
          </cell>
          <cell r="B258" t="str">
            <v>LOJA CHARQUEADAS - RS</v>
          </cell>
          <cell r="C258">
            <v>3483</v>
          </cell>
          <cell r="D258" t="str">
            <v>LARISSA OLIVEIRA BARBOZA</v>
          </cell>
          <cell r="E258">
            <v>763</v>
          </cell>
          <cell r="F258" t="str">
            <v>ADRIELE DA SILVA SOUZA</v>
          </cell>
          <cell r="G258">
            <v>42607</v>
          </cell>
          <cell r="H258" t="str">
            <v>AV. DR JOSE ATHANÁSIO, 129 SALA A</v>
          </cell>
          <cell r="I258" t="str">
            <v>CENTRO</v>
          </cell>
          <cell r="J258" t="str">
            <v>96745-000</v>
          </cell>
          <cell r="K258">
            <v>38</v>
          </cell>
          <cell r="L258" t="str">
            <v>RS</v>
          </cell>
          <cell r="M258" t="str">
            <v>5125007105</v>
          </cell>
          <cell r="N258">
            <v>704</v>
          </cell>
          <cell r="O258" t="str">
            <v>5125007105</v>
          </cell>
          <cell r="P258" t="str">
            <v>francine.anselmo@factalojas.com.br</v>
          </cell>
          <cell r="Q258" t="str">
            <v>elisangela.israel@facta.com.br;larissa.barboza@facta.com.br</v>
          </cell>
          <cell r="S258" t="str">
            <v>loja19901@factalojas.com.br;larissa.barboza@facta.com.br</v>
          </cell>
          <cell r="T258" t="str">
            <v>19901</v>
          </cell>
          <cell r="U258" t="str">
            <v/>
          </cell>
          <cell r="W258" t="str">
            <v>A</v>
          </cell>
        </row>
        <row r="259">
          <cell r="A259">
            <v>20959</v>
          </cell>
          <cell r="B259" t="str">
            <v>LOJA JOINVILLE - SC</v>
          </cell>
          <cell r="C259">
            <v>6096</v>
          </cell>
          <cell r="D259" t="str">
            <v>ANA PAULA PICOLLI</v>
          </cell>
          <cell r="E259">
            <v>763</v>
          </cell>
          <cell r="F259" t="str">
            <v>ADRIELE DA SILVA SOUZA</v>
          </cell>
          <cell r="G259">
            <v>42607</v>
          </cell>
          <cell r="H259" t="str">
            <v>dona Francisca 114</v>
          </cell>
          <cell r="I259" t="str">
            <v xml:space="preserve">CENTRO </v>
          </cell>
          <cell r="J259" t="str">
            <v>89201-250</v>
          </cell>
          <cell r="K259">
            <v>1675</v>
          </cell>
          <cell r="L259" t="str">
            <v>SC</v>
          </cell>
          <cell r="M259" t="str">
            <v>4730253060</v>
          </cell>
          <cell r="N259">
            <v>705</v>
          </cell>
          <cell r="O259" t="str">
            <v>4730253060</v>
          </cell>
          <cell r="P259" t="str">
            <v>samara.ferreira@factalojas.com.br</v>
          </cell>
          <cell r="Q259" t="str">
            <v>loja20959@facta.com.br</v>
          </cell>
          <cell r="S259" t="str">
            <v>loja20959@facta.com.br</v>
          </cell>
          <cell r="T259" t="str">
            <v>20959</v>
          </cell>
          <cell r="U259" t="str">
            <v/>
          </cell>
          <cell r="W259" t="str">
            <v>A</v>
          </cell>
        </row>
        <row r="260">
          <cell r="A260">
            <v>52062</v>
          </cell>
          <cell r="B260" t="str">
            <v>CENTRAL DE VENDAS - SP</v>
          </cell>
          <cell r="C260">
            <v>0</v>
          </cell>
          <cell r="E260">
            <v>0</v>
          </cell>
          <cell r="G260">
            <v>42565</v>
          </cell>
          <cell r="H260" t="str">
            <v>RUA SÃO BENTO 188</v>
          </cell>
          <cell r="I260" t="str">
            <v xml:space="preserve">CENTRO </v>
          </cell>
          <cell r="J260" t="str">
            <v>01010-000</v>
          </cell>
          <cell r="K260">
            <v>442</v>
          </cell>
          <cell r="L260" t="str">
            <v>SP</v>
          </cell>
          <cell r="M260" t="str">
            <v xml:space="preserve">1131134012 </v>
          </cell>
          <cell r="N260">
            <v>202</v>
          </cell>
          <cell r="O260" t="str">
            <v xml:space="preserve">1131134012 </v>
          </cell>
          <cell r="P260" t="str">
            <v>talita.tome@facta.com.br</v>
          </cell>
          <cell r="Q260" t="str">
            <v>central.vendassp@facta.com.br</v>
          </cell>
          <cell r="T260" t="str">
            <v>52062</v>
          </cell>
          <cell r="W260" t="str">
            <v>I</v>
          </cell>
        </row>
        <row r="261">
          <cell r="A261">
            <v>52012</v>
          </cell>
          <cell r="B261" t="str">
            <v>LOJA SAO BENTO - SP</v>
          </cell>
          <cell r="C261">
            <v>6253</v>
          </cell>
          <cell r="D261" t="str">
            <v>MIRIAM DE SALLES BARBIERI</v>
          </cell>
          <cell r="E261">
            <v>3826</v>
          </cell>
          <cell r="F261" t="str">
            <v>CINARA REGINA KEMERICH</v>
          </cell>
          <cell r="G261">
            <v>42283</v>
          </cell>
          <cell r="H261" t="str">
            <v>RUA SÃO BENTO 315, LJ 17</v>
          </cell>
          <cell r="I261" t="str">
            <v>CENTRO</v>
          </cell>
          <cell r="J261" t="str">
            <v>01010-000</v>
          </cell>
          <cell r="K261">
            <v>442</v>
          </cell>
          <cell r="L261" t="str">
            <v>SP</v>
          </cell>
          <cell r="M261" t="str">
            <v>1131134013</v>
          </cell>
          <cell r="N261">
            <v>702</v>
          </cell>
          <cell r="O261" t="str">
            <v>1131134013</v>
          </cell>
          <cell r="P261" t="str">
            <v>jose.raimundo@factalojas.com.br</v>
          </cell>
          <cell r="Q261" t="str">
            <v>loja52012@factalojas.com.br</v>
          </cell>
          <cell r="S261" t="str">
            <v>loja52012@factalojas.com.br</v>
          </cell>
          <cell r="T261" t="str">
            <v>LOJA52012</v>
          </cell>
          <cell r="U261" t="str">
            <v/>
          </cell>
          <cell r="W261" t="str">
            <v>A</v>
          </cell>
        </row>
        <row r="262">
          <cell r="A262">
            <v>6695</v>
          </cell>
          <cell r="B262" t="str">
            <v>CENTRAL DE VENDAS - RJ</v>
          </cell>
          <cell r="E262">
            <v>3467</v>
          </cell>
          <cell r="F262" t="str">
            <v>GISELLE MORAES SCHNEIDER</v>
          </cell>
          <cell r="G262">
            <v>42248</v>
          </cell>
          <cell r="H262" t="str">
            <v>RUA DA AJUDA Nº 35  SOBRELOJA SALA -201</v>
          </cell>
          <cell r="I262" t="str">
            <v>CENTRO</v>
          </cell>
          <cell r="J262" t="str">
            <v>20040-000</v>
          </cell>
          <cell r="K262">
            <v>405</v>
          </cell>
          <cell r="L262" t="str">
            <v>RJ</v>
          </cell>
          <cell r="M262" t="str">
            <v xml:space="preserve">2135259900 </v>
          </cell>
          <cell r="N262">
            <v>214</v>
          </cell>
          <cell r="O262" t="str">
            <v xml:space="preserve">2135259900 </v>
          </cell>
          <cell r="P262" t="str">
            <v>centraldevendas.rj@facta.com.br</v>
          </cell>
          <cell r="Q262" t="str">
            <v>centraldevendas.rj@facta.com.br</v>
          </cell>
          <cell r="T262" t="str">
            <v>6695</v>
          </cell>
          <cell r="W262" t="str">
            <v>I</v>
          </cell>
        </row>
        <row r="263">
          <cell r="A263">
            <v>19790</v>
          </cell>
          <cell r="B263" t="str">
            <v>LOJA PORTO ALEGRE - ASSIS BRASIL 2 - RS</v>
          </cell>
          <cell r="C263">
            <v>7835</v>
          </cell>
          <cell r="D263" t="str">
            <v>JOSIANE DE SOUZA MONTEIRO DOS SANTOS</v>
          </cell>
          <cell r="E263">
            <v>763</v>
          </cell>
          <cell r="F263" t="str">
            <v>ADRIELE DA SILVA SOUZA</v>
          </cell>
          <cell r="G263">
            <v>42200</v>
          </cell>
          <cell r="H263" t="str">
            <v>AV ASSIS BRASIL, 2100 LOJA 16A GALERIA PASSO DA AR</v>
          </cell>
          <cell r="I263" t="str">
            <v>PASSO DA AREIA</v>
          </cell>
          <cell r="J263" t="str">
            <v>91010-002</v>
          </cell>
          <cell r="K263">
            <v>35</v>
          </cell>
          <cell r="L263" t="str">
            <v>RS</v>
          </cell>
          <cell r="M263" t="str">
            <v>5130286710</v>
          </cell>
          <cell r="N263">
            <v>700</v>
          </cell>
          <cell r="O263" t="str">
            <v>5130286710</v>
          </cell>
          <cell r="P263" t="str">
            <v>josiane.santos@facta.com.br</v>
          </cell>
          <cell r="Q263" t="str">
            <v>larissa.braboza@facta.com.br</v>
          </cell>
          <cell r="S263" t="str">
            <v>loja19790@facta.com.br</v>
          </cell>
          <cell r="T263" t="str">
            <v>19790</v>
          </cell>
          <cell r="U263" t="str">
            <v>06/04/23 - Inativ 3852740._x000D_
20/04/23 - Reativ 3876869 solic pela Daysa,_x000D_
20/04/23 - Inativ 3876869 solic pela Daysa,</v>
          </cell>
          <cell r="W263" t="str">
            <v>I</v>
          </cell>
        </row>
        <row r="264">
          <cell r="A264">
            <v>2491</v>
          </cell>
          <cell r="B264" t="str">
            <v>LOJA CRICIUMA - SC</v>
          </cell>
          <cell r="E264">
            <v>7068</v>
          </cell>
          <cell r="F264" t="str">
            <v>CLEBER ROBERTO BARBOSA DOS SANTOS</v>
          </cell>
          <cell r="G264">
            <v>42139</v>
          </cell>
          <cell r="H264" t="str">
            <v>RUA SAO JOSE , 165 SL 5</v>
          </cell>
          <cell r="I264" t="str">
            <v>CENTRO</v>
          </cell>
          <cell r="J264" t="str">
            <v>88801-520</v>
          </cell>
          <cell r="K264">
            <v>182</v>
          </cell>
          <cell r="L264" t="str">
            <v>SC</v>
          </cell>
          <cell r="M264" t="str">
            <v>-</v>
          </cell>
          <cell r="N264">
            <v>0</v>
          </cell>
          <cell r="O264" t="str">
            <v>-</v>
          </cell>
          <cell r="P264" t="str">
            <v>-</v>
          </cell>
          <cell r="Q264" t="str">
            <v>-</v>
          </cell>
          <cell r="S264" t="str">
            <v>-</v>
          </cell>
          <cell r="T264" t="str">
            <v>2491CRICIUMA</v>
          </cell>
          <cell r="W264" t="str">
            <v>I</v>
          </cell>
        </row>
        <row r="265">
          <cell r="A265">
            <v>50850</v>
          </cell>
          <cell r="B265" t="str">
            <v>LOJA SUMARE - SP</v>
          </cell>
          <cell r="C265">
            <v>10518</v>
          </cell>
          <cell r="D265" t="str">
            <v>THAINA MARCHI CONEJO</v>
          </cell>
          <cell r="E265">
            <v>3826</v>
          </cell>
          <cell r="F265" t="str">
            <v>CINARA REGINA KEMERICH</v>
          </cell>
          <cell r="G265">
            <v>42129</v>
          </cell>
          <cell r="H265" t="str">
            <v>ANTONIO DO VALE MELLO Nº 658</v>
          </cell>
          <cell r="I265" t="str">
            <v>CENTRO</v>
          </cell>
          <cell r="J265" t="str">
            <v>13170-010</v>
          </cell>
          <cell r="K265">
            <v>25422</v>
          </cell>
          <cell r="L265" t="str">
            <v>SP</v>
          </cell>
          <cell r="M265" t="str">
            <v>1933679458</v>
          </cell>
          <cell r="N265">
            <v>445</v>
          </cell>
          <cell r="O265" t="str">
            <v>1933679458</v>
          </cell>
          <cell r="P265" t="str">
            <v>beatriz.camargo@factalojas.com.br</v>
          </cell>
          <cell r="Q265" t="str">
            <v>hevelins.silva@facta.com.br</v>
          </cell>
          <cell r="S265" t="str">
            <v>loja50850@factalojas.com.br</v>
          </cell>
          <cell r="T265" t="str">
            <v>LOJA50850</v>
          </cell>
          <cell r="U265" t="str">
            <v/>
          </cell>
          <cell r="W265" t="str">
            <v>A</v>
          </cell>
        </row>
        <row r="266">
          <cell r="A266">
            <v>12200</v>
          </cell>
          <cell r="B266" t="str">
            <v>LOJA CAMPO GRANDE - MS</v>
          </cell>
          <cell r="C266">
            <v>14442</v>
          </cell>
          <cell r="D266" t="str">
            <v>ADRIELE FERNANDA VIEIRA DA SILVA</v>
          </cell>
          <cell r="E266">
            <v>3026</v>
          </cell>
          <cell r="F266" t="str">
            <v>MAYARA NOVAIS LOPES</v>
          </cell>
          <cell r="G266">
            <v>42114</v>
          </cell>
          <cell r="H266" t="str">
            <v>RUA TREZE DE MAIO, 2892</v>
          </cell>
          <cell r="I266" t="str">
            <v>CENTRO</v>
          </cell>
          <cell r="J266" t="str">
            <v>79002-356</v>
          </cell>
          <cell r="K266">
            <v>1167</v>
          </cell>
          <cell r="L266" t="str">
            <v>MS</v>
          </cell>
          <cell r="M266" t="str">
            <v>6699604366</v>
          </cell>
          <cell r="N266">
            <v>305</v>
          </cell>
          <cell r="O266" t="str">
            <v>6699604366</v>
          </cell>
          <cell r="P266" t="str">
            <v>adriele.silva@facta.com.br</v>
          </cell>
          <cell r="Q266" t="str">
            <v>loja12200@factalojas.com.br</v>
          </cell>
          <cell r="S266" t="str">
            <v>loja12200@factalojas.com.br</v>
          </cell>
          <cell r="T266" t="str">
            <v>loja12200</v>
          </cell>
          <cell r="U266" t="str">
            <v/>
          </cell>
          <cell r="W266" t="str">
            <v>A</v>
          </cell>
        </row>
        <row r="267">
          <cell r="A267">
            <v>50808</v>
          </cell>
          <cell r="B267" t="str">
            <v>LOJA AMPARO - SP</v>
          </cell>
          <cell r="E267">
            <v>4839</v>
          </cell>
          <cell r="F267" t="str">
            <v>MICHELLE BUENO DE CAMARGO</v>
          </cell>
          <cell r="G267">
            <v>42114</v>
          </cell>
          <cell r="H267" t="str">
            <v>RUA COMENDADOR GUIMARÂES Nº 144</v>
          </cell>
          <cell r="I267" t="str">
            <v>CENTRO</v>
          </cell>
          <cell r="J267" t="str">
            <v>13900470</v>
          </cell>
          <cell r="K267">
            <v>25524</v>
          </cell>
          <cell r="L267" t="str">
            <v>SP</v>
          </cell>
          <cell r="M267" t="str">
            <v xml:space="preserve">1938083405 </v>
          </cell>
          <cell r="N267">
            <v>682</v>
          </cell>
          <cell r="O267" t="str">
            <v xml:space="preserve">1938083405 </v>
          </cell>
          <cell r="P267" t="str">
            <v>.</v>
          </cell>
          <cell r="Q267" t="str">
            <v>.</v>
          </cell>
          <cell r="T267" t="str">
            <v>LOJA.AMPARO</v>
          </cell>
          <cell r="W267" t="str">
            <v>I</v>
          </cell>
        </row>
        <row r="268">
          <cell r="A268">
            <v>50809</v>
          </cell>
          <cell r="B268" t="str">
            <v>LOJA ARARAQUARA - SP</v>
          </cell>
          <cell r="C268">
            <v>8976</v>
          </cell>
          <cell r="D268" t="str">
            <v>ANDREY COSTA DA ROCHA</v>
          </cell>
          <cell r="E268">
            <v>3826</v>
          </cell>
          <cell r="F268" t="str">
            <v>CINARA REGINA KEMERICH</v>
          </cell>
          <cell r="G268">
            <v>42114</v>
          </cell>
          <cell r="H268" t="str">
            <v>AV.FEIJO Nº 346</v>
          </cell>
          <cell r="I268" t="str">
            <v>CENTRO</v>
          </cell>
          <cell r="J268" t="str">
            <v>14801-140</v>
          </cell>
          <cell r="K268">
            <v>25607</v>
          </cell>
          <cell r="L268" t="str">
            <v>SP</v>
          </cell>
          <cell r="M268" t="str">
            <v>1635085254</v>
          </cell>
          <cell r="N268">
            <v>308</v>
          </cell>
          <cell r="O268" t="str">
            <v>1635085254</v>
          </cell>
          <cell r="P268" t="str">
            <v>andrey.rocha@facta.com.br</v>
          </cell>
          <cell r="Q268" t="str">
            <v>andrey.rocha@facta.com.br</v>
          </cell>
          <cell r="S268" t="str">
            <v>loja50809@factalojas.com.br</v>
          </cell>
          <cell r="T268" t="str">
            <v>LOJA50809</v>
          </cell>
          <cell r="U268" t="str">
            <v/>
          </cell>
          <cell r="W268" t="str">
            <v>A</v>
          </cell>
        </row>
        <row r="269">
          <cell r="A269">
            <v>30110</v>
          </cell>
          <cell r="B269" t="str">
            <v>LOJA PARANAGUA - PR</v>
          </cell>
          <cell r="C269">
            <v>10803</v>
          </cell>
          <cell r="D269" t="str">
            <v>JOAO GUALBERTO BRAZ JUNIOR</v>
          </cell>
          <cell r="E269">
            <v>3826</v>
          </cell>
          <cell r="F269" t="str">
            <v>CINARA REGINA KEMERICH</v>
          </cell>
          <cell r="G269">
            <v>42102</v>
          </cell>
          <cell r="H269" t="str">
            <v>TRAVESSA NOVE DE AGOSTO Nº 13</v>
          </cell>
          <cell r="I269" t="str">
            <v>CENTRO HISTORICO</v>
          </cell>
          <cell r="J269" t="str">
            <v>83203-006</v>
          </cell>
          <cell r="K269">
            <v>971024</v>
          </cell>
          <cell r="L269" t="str">
            <v>PR</v>
          </cell>
          <cell r="M269" t="str">
            <v>4130385417</v>
          </cell>
          <cell r="N269">
            <v>306</v>
          </cell>
          <cell r="O269" t="str">
            <v>4130385417</v>
          </cell>
          <cell r="P269" t="str">
            <v>suzianne.morais@factalojas.com.br</v>
          </cell>
          <cell r="Q269" t="str">
            <v>loja30110@factalojas.com.br</v>
          </cell>
          <cell r="S269" t="str">
            <v>loja30110@factalojas.com.br</v>
          </cell>
          <cell r="T269" t="str">
            <v>30110</v>
          </cell>
          <cell r="U269" t="str">
            <v xml:space="preserve">_x000D_
</v>
          </cell>
          <cell r="W269" t="str">
            <v>A</v>
          </cell>
        </row>
        <row r="270">
          <cell r="A270">
            <v>3527</v>
          </cell>
          <cell r="B270" t="str">
            <v>LOJA - CURITIBA 2</v>
          </cell>
          <cell r="E270">
            <v>7068</v>
          </cell>
          <cell r="F270" t="str">
            <v>CLEBER ROBERTO BARBOSA DOS SANTOS</v>
          </cell>
          <cell r="G270">
            <v>42082</v>
          </cell>
          <cell r="H270" t="str">
            <v>RUA ANDRÉ BARROS Nº 205</v>
          </cell>
          <cell r="I270" t="str">
            <v>CENTRO</v>
          </cell>
          <cell r="J270" t="str">
            <v>80010-080</v>
          </cell>
          <cell r="K270">
            <v>251</v>
          </cell>
          <cell r="L270" t="str">
            <v>PR</v>
          </cell>
          <cell r="M270" t="str">
            <v xml:space="preserve">4130718888 </v>
          </cell>
          <cell r="N270">
            <v>0</v>
          </cell>
          <cell r="O270" t="str">
            <v xml:space="preserve">4130718888 </v>
          </cell>
          <cell r="P270" t="str">
            <v>-</v>
          </cell>
          <cell r="Q270" t="str">
            <v>-</v>
          </cell>
          <cell r="S270" t="str">
            <v>-</v>
          </cell>
          <cell r="T270" t="str">
            <v>3527.campinas2</v>
          </cell>
          <cell r="W270" t="str">
            <v>I</v>
          </cell>
        </row>
        <row r="271">
          <cell r="A271">
            <v>50543</v>
          </cell>
          <cell r="B271" t="str">
            <v>LOJA CAMPINAS 2 - SP</v>
          </cell>
          <cell r="E271">
            <v>4387</v>
          </cell>
          <cell r="F271" t="str">
            <v>CRISTIANE ARAUJO DA SILVA</v>
          </cell>
          <cell r="G271">
            <v>42082</v>
          </cell>
          <cell r="H271" t="str">
            <v>RUA JOSE PAULINO , 1258 - LJ 2</v>
          </cell>
          <cell r="I271" t="str">
            <v>CENTRO</v>
          </cell>
          <cell r="J271" t="str">
            <v>13013-001</v>
          </cell>
          <cell r="K271">
            <v>1257</v>
          </cell>
          <cell r="L271" t="str">
            <v>SP</v>
          </cell>
          <cell r="M271" t="str">
            <v xml:space="preserve">1925172994 </v>
          </cell>
          <cell r="N271">
            <v>682</v>
          </cell>
          <cell r="O271" t="str">
            <v xml:space="preserve">1925172994 </v>
          </cell>
          <cell r="P271" t="str">
            <v>renato.souza@facta.com.br</v>
          </cell>
          <cell r="Q271" t="str">
            <v>renato.souza@facta.com.br</v>
          </cell>
          <cell r="T271" t="str">
            <v>50543</v>
          </cell>
          <cell r="W271" t="str">
            <v>I</v>
          </cell>
        </row>
        <row r="272">
          <cell r="A272">
            <v>10801</v>
          </cell>
          <cell r="B272" t="str">
            <v>PV BMG</v>
          </cell>
          <cell r="E272">
            <v>7068</v>
          </cell>
          <cell r="F272" t="str">
            <v>CLEBER ROBERTO BARBOSA DOS SANTOS</v>
          </cell>
          <cell r="G272">
            <v>42081</v>
          </cell>
          <cell r="H272" t="str">
            <v>RUA CÔNEGO ESTANISLAU SCHERER, 556</v>
          </cell>
          <cell r="I272" t="str">
            <v>CENTRO</v>
          </cell>
          <cell r="J272" t="str">
            <v>92500000</v>
          </cell>
          <cell r="K272">
            <v>79</v>
          </cell>
          <cell r="L272" t="str">
            <v>RS</v>
          </cell>
          <cell r="M272" t="str">
            <v xml:space="preserve">5134800078 </v>
          </cell>
          <cell r="N272">
            <v>0</v>
          </cell>
          <cell r="O272" t="str">
            <v xml:space="preserve">5134800078 </v>
          </cell>
          <cell r="T272" t="str">
            <v>10801</v>
          </cell>
          <cell r="W272" t="str">
            <v>I</v>
          </cell>
        </row>
        <row r="273">
          <cell r="A273">
            <v>50734</v>
          </cell>
          <cell r="B273" t="str">
            <v>LOJA GUARULHOS - SP</v>
          </cell>
          <cell r="C273">
            <v>6253</v>
          </cell>
          <cell r="D273" t="str">
            <v>MIRIAM DE SALLES BARBIERI</v>
          </cell>
          <cell r="E273">
            <v>3826</v>
          </cell>
          <cell r="F273" t="str">
            <v>CINARA REGINA KEMERICH</v>
          </cell>
          <cell r="G273">
            <v>42074</v>
          </cell>
          <cell r="H273" t="str">
            <v>R. FELÍCIO MARCONDES, 484</v>
          </cell>
          <cell r="I273" t="str">
            <v>CENTRO GUARULHOS</v>
          </cell>
          <cell r="J273" t="str">
            <v>07010-030</v>
          </cell>
          <cell r="K273">
            <v>25288</v>
          </cell>
          <cell r="L273" t="str">
            <v>SP</v>
          </cell>
          <cell r="M273" t="str">
            <v>1143782494</v>
          </cell>
          <cell r="N273">
            <v>681</v>
          </cell>
          <cell r="O273" t="str">
            <v>1143782494</v>
          </cell>
          <cell r="P273" t="str">
            <v>loja50734@factalojas.com.br</v>
          </cell>
          <cell r="Q273" t="str">
            <v>loja50734@factalojas.com.br</v>
          </cell>
          <cell r="S273" t="str">
            <v>loja50734@factalojas.com.br</v>
          </cell>
          <cell r="T273" t="str">
            <v>LOJA50734</v>
          </cell>
          <cell r="U273" t="str">
            <v/>
          </cell>
          <cell r="W273" t="str">
            <v>A</v>
          </cell>
        </row>
        <row r="274">
          <cell r="A274">
            <v>16203</v>
          </cell>
          <cell r="B274" t="str">
            <v>LOJA BRASILIA - DF</v>
          </cell>
          <cell r="E274">
            <v>3535</v>
          </cell>
          <cell r="F274" t="str">
            <v>JOANA DARTE RIBEIRO DE ALMEIDA</v>
          </cell>
          <cell r="G274">
            <v>42073</v>
          </cell>
          <cell r="H274" t="str">
            <v>SCS QUADRA 04,BL A LOTE 141/153 TERREO</v>
          </cell>
          <cell r="I274" t="str">
            <v xml:space="preserve">ASA SUL </v>
          </cell>
          <cell r="J274" t="str">
            <v>70304-905</v>
          </cell>
          <cell r="K274">
            <v>350</v>
          </cell>
          <cell r="L274" t="str">
            <v>DF</v>
          </cell>
          <cell r="M274" t="str">
            <v>61 33237336</v>
          </cell>
          <cell r="N274">
            <v>302</v>
          </cell>
          <cell r="O274" t="str">
            <v>61 33237336</v>
          </cell>
          <cell r="P274" t="str">
            <v>loja16203@facta.com.br</v>
          </cell>
          <cell r="Q274" t="str">
            <v>loja16203@facta.com.br</v>
          </cell>
          <cell r="S274" t="str">
            <v>loja16203@facta.com.br</v>
          </cell>
          <cell r="T274" t="str">
            <v>brasilia</v>
          </cell>
          <cell r="W274" t="str">
            <v>I</v>
          </cell>
        </row>
        <row r="275">
          <cell r="A275">
            <v>19777</v>
          </cell>
          <cell r="B275" t="str">
            <v>LOJA PASSO FUNDO - RS</v>
          </cell>
          <cell r="C275">
            <v>5428</v>
          </cell>
          <cell r="D275" t="str">
            <v>DANIELA DO CARMO CAMPARA</v>
          </cell>
          <cell r="E275">
            <v>763</v>
          </cell>
          <cell r="F275" t="str">
            <v>ADRIELE DA SILVA SOUZA</v>
          </cell>
          <cell r="G275">
            <v>42073</v>
          </cell>
          <cell r="H275" t="str">
            <v xml:space="preserve">R. INDEPENDÊNCIA, 684 </v>
          </cell>
          <cell r="I275" t="str">
            <v>CENTRO</v>
          </cell>
          <cell r="J275" t="str">
            <v>99010-040</v>
          </cell>
          <cell r="K275">
            <v>16</v>
          </cell>
          <cell r="L275" t="str">
            <v>RS</v>
          </cell>
          <cell r="M275" t="str">
            <v>5433117272</v>
          </cell>
          <cell r="N275">
            <v>297</v>
          </cell>
          <cell r="O275" t="str">
            <v>5433117272</v>
          </cell>
          <cell r="P275" t="str">
            <v>loja19277@factalojas.com.br</v>
          </cell>
          <cell r="Q275" t="str">
            <v>jessica.ramos@factalojas.com.br</v>
          </cell>
          <cell r="S275" t="str">
            <v>loja19277@factalojas.com.br</v>
          </cell>
          <cell r="T275" t="str">
            <v>19777</v>
          </cell>
          <cell r="U275" t="str">
            <v/>
          </cell>
          <cell r="W275" t="str">
            <v>A</v>
          </cell>
        </row>
        <row r="276">
          <cell r="A276">
            <v>19778</v>
          </cell>
          <cell r="B276" t="str">
            <v>LOJA PORTO ALEGRE - VIGARIO - RS</v>
          </cell>
          <cell r="C276">
            <v>7835</v>
          </cell>
          <cell r="D276" t="str">
            <v>JOSIANE DE SOUZA MONTEIRO DOS SANTOS</v>
          </cell>
          <cell r="E276">
            <v>763</v>
          </cell>
          <cell r="F276" t="str">
            <v>ADRIELE DA SILVA SOUZA</v>
          </cell>
          <cell r="G276">
            <v>42073</v>
          </cell>
          <cell r="H276" t="str">
            <v>VIGÁRIO JOSE INÁCIO, 258</v>
          </cell>
          <cell r="I276" t="str">
            <v>CENTRO HISTÓRICO</v>
          </cell>
          <cell r="J276" t="str">
            <v>90020-100</v>
          </cell>
          <cell r="K276">
            <v>35</v>
          </cell>
          <cell r="L276" t="str">
            <v>RS</v>
          </cell>
          <cell r="M276" t="str">
            <v>5130217865</v>
          </cell>
          <cell r="N276">
            <v>303</v>
          </cell>
          <cell r="O276" t="str">
            <v>5130217865</v>
          </cell>
          <cell r="P276" t="str">
            <v>michele.santos@facta.com.br</v>
          </cell>
          <cell r="Q276" t="str">
            <v>michele.santos@facta.com.br</v>
          </cell>
          <cell r="S276" t="str">
            <v>loja19778@factalojas.com.br</v>
          </cell>
          <cell r="T276" t="str">
            <v>19778</v>
          </cell>
          <cell r="U276" t="str">
            <v xml:space="preserve">_x000D_
</v>
          </cell>
          <cell r="W276" t="str">
            <v>A</v>
          </cell>
        </row>
        <row r="277">
          <cell r="A277">
            <v>30108</v>
          </cell>
          <cell r="B277" t="str">
            <v>LOJA ARAPONGAS - PR</v>
          </cell>
          <cell r="E277">
            <v>4481</v>
          </cell>
          <cell r="F277" t="str">
            <v>ELLEN KELLY SALVIANO</v>
          </cell>
          <cell r="G277">
            <v>42073</v>
          </cell>
          <cell r="H277" t="str">
            <v>RUA BEIJA FLOR Nº 410</v>
          </cell>
          <cell r="I277" t="str">
            <v>CENTRO</v>
          </cell>
          <cell r="J277" t="str">
            <v>86700-045</v>
          </cell>
          <cell r="K277">
            <v>6943797</v>
          </cell>
          <cell r="L277" t="str">
            <v>PR</v>
          </cell>
          <cell r="M277" t="str">
            <v xml:space="preserve">4332755950 </v>
          </cell>
          <cell r="N277">
            <v>20</v>
          </cell>
          <cell r="O277" t="str">
            <v xml:space="preserve">4332755950 </v>
          </cell>
          <cell r="P277" t="str">
            <v>loja30108@facta.com.br</v>
          </cell>
          <cell r="Q277" t="str">
            <v>ana.fiths@facta.com.br</v>
          </cell>
          <cell r="T277" t="str">
            <v>loja.30108</v>
          </cell>
          <cell r="W277" t="str">
            <v>I</v>
          </cell>
        </row>
        <row r="278">
          <cell r="A278">
            <v>50731</v>
          </cell>
          <cell r="B278" t="str">
            <v>LOJA SANTOS - SP</v>
          </cell>
          <cell r="C278">
            <v>95</v>
          </cell>
          <cell r="D278" t="str">
            <v>SILVANA DE FATIMA CENCI</v>
          </cell>
          <cell r="E278">
            <v>3826</v>
          </cell>
          <cell r="F278" t="str">
            <v>CINARA REGINA KEMERICH</v>
          </cell>
          <cell r="G278">
            <v>42073</v>
          </cell>
          <cell r="H278" t="str">
            <v>RUA FREI GASPAR, 83</v>
          </cell>
          <cell r="I278" t="str">
            <v>CENTRO</v>
          </cell>
          <cell r="J278" t="str">
            <v>11010-090</v>
          </cell>
          <cell r="K278">
            <v>1115</v>
          </cell>
          <cell r="L278" t="str">
            <v>SP</v>
          </cell>
          <cell r="M278" t="str">
            <v>1333456920</v>
          </cell>
          <cell r="N278">
            <v>291</v>
          </cell>
          <cell r="O278" t="str">
            <v>1333456920</v>
          </cell>
          <cell r="P278" t="str">
            <v>debora.oliveira@factalojas.com.br</v>
          </cell>
          <cell r="Q278" t="str">
            <v>silvana@facta.com.br;debora.oliveira@factalojas.com.br</v>
          </cell>
          <cell r="S278" t="str">
            <v>silvana@facta.com.br;loja50731@factalojas.com.br;debora.oliveira@factalojas.com.br</v>
          </cell>
          <cell r="T278" t="str">
            <v>SP50731</v>
          </cell>
          <cell r="U278" t="str">
            <v/>
          </cell>
          <cell r="W278" t="str">
            <v>A</v>
          </cell>
        </row>
        <row r="279">
          <cell r="A279">
            <v>50732</v>
          </cell>
          <cell r="B279" t="str">
            <v>LOJA SUZANO-SP</v>
          </cell>
          <cell r="E279">
            <v>7068</v>
          </cell>
          <cell r="F279" t="str">
            <v>CLEBER ROBERTO BARBOSA DOS SANTOS</v>
          </cell>
          <cell r="G279">
            <v>42073</v>
          </cell>
          <cell r="H279" t="str">
            <v>GAL.FRANCISCO GLICÉRIO Nº 915</v>
          </cell>
          <cell r="K279">
            <v>25305</v>
          </cell>
          <cell r="L279" t="str">
            <v>SP</v>
          </cell>
          <cell r="M279" t="str">
            <v>0</v>
          </cell>
          <cell r="N279">
            <v>0</v>
          </cell>
          <cell r="O279" t="str">
            <v>0</v>
          </cell>
          <cell r="P279" t="str">
            <v>-</v>
          </cell>
          <cell r="Q279" t="str">
            <v>-</v>
          </cell>
          <cell r="S279" t="str">
            <v>-</v>
          </cell>
          <cell r="W279" t="str">
            <v>I</v>
          </cell>
        </row>
        <row r="280">
          <cell r="A280">
            <v>50733</v>
          </cell>
          <cell r="B280" t="str">
            <v>LOJA SAO JOSE DOS CAMPOS - SP</v>
          </cell>
          <cell r="C280">
            <v>15127</v>
          </cell>
          <cell r="D280" t="str">
            <v>LOSANGELA HONORIO DE OLIVEIRA</v>
          </cell>
          <cell r="E280">
            <v>6621</v>
          </cell>
          <cell r="F280" t="str">
            <v>THAYSA SANDIM DE SOUZA</v>
          </cell>
          <cell r="G280">
            <v>42073</v>
          </cell>
          <cell r="H280" t="str">
            <v>RUA SETE DE SETEMBRO N° 290 2°ANDAR SALA 24</v>
          </cell>
          <cell r="I280" t="str">
            <v>CENTRO</v>
          </cell>
          <cell r="J280" t="str">
            <v>12210-260</v>
          </cell>
          <cell r="K280">
            <v>970688</v>
          </cell>
          <cell r="L280" t="str">
            <v>SP</v>
          </cell>
          <cell r="M280" t="str">
            <v>1230288501</v>
          </cell>
          <cell r="N280">
            <v>301</v>
          </cell>
          <cell r="O280" t="str">
            <v>1230288501</v>
          </cell>
          <cell r="P280" t="str">
            <v>carolina.olimpio@factalojas.com.br</v>
          </cell>
          <cell r="Q280" t="str">
            <v>carolina.olimpio@factalojas.com.br;loja50733@factalojas.com.br</v>
          </cell>
          <cell r="S280" t="str">
            <v>loja50733@factalojas.com.br</v>
          </cell>
          <cell r="T280" t="str">
            <v>LOJA50733</v>
          </cell>
          <cell r="W280" t="str">
            <v>A</v>
          </cell>
        </row>
        <row r="281">
          <cell r="A281">
            <v>60007</v>
          </cell>
          <cell r="B281" t="str">
            <v>LOJA VOLTA REDONDA - RJ</v>
          </cell>
          <cell r="C281">
            <v>15127</v>
          </cell>
          <cell r="D281" t="str">
            <v>LOSANGELA HONORIO DE OLIVEIRA</v>
          </cell>
          <cell r="E281">
            <v>6621</v>
          </cell>
          <cell r="F281" t="str">
            <v>THAYSA SANDIM DE SOUZA</v>
          </cell>
          <cell r="G281">
            <v>42073</v>
          </cell>
          <cell r="H281" t="str">
            <v>RUA GUSTAVO LIRA 334 , LOJA 02,04,05</v>
          </cell>
          <cell r="I281" t="str">
            <v>CENTRO</v>
          </cell>
          <cell r="J281" t="str">
            <v>27253-280</v>
          </cell>
          <cell r="K281">
            <v>1038</v>
          </cell>
          <cell r="L281" t="str">
            <v>RJ</v>
          </cell>
          <cell r="M281" t="str">
            <v>2440092489</v>
          </cell>
          <cell r="N281">
            <v>292</v>
          </cell>
          <cell r="O281" t="str">
            <v>2440092489</v>
          </cell>
          <cell r="P281" t="str">
            <v>renata.epifanio@factalojas.com.br</v>
          </cell>
          <cell r="Q281" t="str">
            <v>loja60007@factalojas.com.br</v>
          </cell>
          <cell r="S281" t="str">
            <v>loja60007@factalojas.com.br</v>
          </cell>
          <cell r="T281" t="str">
            <v>REDONDA</v>
          </cell>
          <cell r="U281" t="str">
            <v xml:space="preserve">_x000D_
</v>
          </cell>
          <cell r="W281" t="str">
            <v>A</v>
          </cell>
        </row>
        <row r="282">
          <cell r="A282">
            <v>109053</v>
          </cell>
          <cell r="B282" t="str">
            <v>CENTRAL DE VENDAS DÉBITO</v>
          </cell>
          <cell r="E282">
            <v>7068</v>
          </cell>
          <cell r="F282" t="str">
            <v>CLEBER ROBERTO BARBOSA DOS SANTOS</v>
          </cell>
          <cell r="G282">
            <v>42073</v>
          </cell>
          <cell r="H282" t="str">
            <v>VIGARIO JOSE INACIO 260</v>
          </cell>
          <cell r="I282" t="str">
            <v>CENTRO</v>
          </cell>
          <cell r="J282" t="str">
            <v>90020-100</v>
          </cell>
          <cell r="K282">
            <v>35</v>
          </cell>
          <cell r="L282" t="str">
            <v>RS</v>
          </cell>
          <cell r="M282" t="str">
            <v>08006021818</v>
          </cell>
          <cell r="N282">
            <v>295</v>
          </cell>
          <cell r="O282" t="str">
            <v>08006021818</v>
          </cell>
          <cell r="P282" t="str">
            <v>alex.silva@facta.com.br</v>
          </cell>
          <cell r="Q282" t="str">
            <v>alex.silva@facta.com.br</v>
          </cell>
          <cell r="T282" t="str">
            <v>109053</v>
          </cell>
          <cell r="W282" t="str">
            <v>I</v>
          </cell>
        </row>
        <row r="283">
          <cell r="A283">
            <v>109054</v>
          </cell>
          <cell r="B283" t="str">
            <v>RECUPERAÇÃO DE CRÉDITO FACTA</v>
          </cell>
          <cell r="E283">
            <v>1384</v>
          </cell>
          <cell r="F283" t="str">
            <v>MILTON MORALES CINTRA E SILVA</v>
          </cell>
          <cell r="G283">
            <v>42073</v>
          </cell>
          <cell r="H283" t="str">
            <v>AV. BORGES DE MEDEIROS, 410 / 8º ANDAR</v>
          </cell>
          <cell r="I283" t="str">
            <v>CENTRO</v>
          </cell>
          <cell r="J283" t="str">
            <v>90020-022</v>
          </cell>
          <cell r="K283">
            <v>35</v>
          </cell>
          <cell r="L283" t="str">
            <v>RS</v>
          </cell>
          <cell r="M283" t="str">
            <v>00000000000</v>
          </cell>
          <cell r="N283">
            <v>294</v>
          </cell>
          <cell r="O283" t="str">
            <v>00000000000</v>
          </cell>
          <cell r="P283" t="str">
            <v>recuperacao.credito@facta.com.br</v>
          </cell>
          <cell r="Q283" t="str">
            <v>bruna.santos@facta.com.br</v>
          </cell>
          <cell r="T283" t="str">
            <v>109054</v>
          </cell>
          <cell r="W283" t="str">
            <v>I</v>
          </cell>
        </row>
        <row r="284">
          <cell r="A284">
            <v>109055</v>
          </cell>
          <cell r="B284" t="str">
            <v>LOJA GUAÍBA 2</v>
          </cell>
          <cell r="E284">
            <v>7068</v>
          </cell>
          <cell r="F284" t="str">
            <v>CLEBER ROBERTO BARBOSA DOS SANTOS</v>
          </cell>
          <cell r="G284">
            <v>42073</v>
          </cell>
          <cell r="H284" t="str">
            <v>RUA CÔNEGO SCHERER Nº 556</v>
          </cell>
          <cell r="I284" t="str">
            <v>CENTRO</v>
          </cell>
          <cell r="K284">
            <v>79</v>
          </cell>
          <cell r="L284" t="str">
            <v>RS</v>
          </cell>
          <cell r="M284" t="str">
            <v>-</v>
          </cell>
          <cell r="N284">
            <v>0</v>
          </cell>
          <cell r="O284" t="str">
            <v>-</v>
          </cell>
          <cell r="P284" t="str">
            <v>-</v>
          </cell>
          <cell r="Q284" t="str">
            <v>-</v>
          </cell>
          <cell r="S284" t="str">
            <v>-</v>
          </cell>
          <cell r="W284" t="str">
            <v>I</v>
          </cell>
        </row>
        <row r="285">
          <cell r="A285">
            <v>19770</v>
          </cell>
          <cell r="B285" t="str">
            <v>CENTRAL DE VENDAS INSS - 2</v>
          </cell>
          <cell r="E285">
            <v>2480</v>
          </cell>
          <cell r="F285" t="str">
            <v>TATIANA FRANCO LOPES TORRES</v>
          </cell>
          <cell r="G285">
            <v>42062</v>
          </cell>
          <cell r="H285" t="str">
            <v>AV. BORGES DE MEDEIROS, 410 -SOBRELOJA</v>
          </cell>
          <cell r="I285" t="str">
            <v>CENTRO</v>
          </cell>
          <cell r="K285">
            <v>35</v>
          </cell>
          <cell r="L285" t="str">
            <v>RS</v>
          </cell>
          <cell r="M285" t="str">
            <v xml:space="preserve">5100000000 </v>
          </cell>
          <cell r="N285">
            <v>293</v>
          </cell>
          <cell r="O285" t="str">
            <v xml:space="preserve">5100000000 </v>
          </cell>
          <cell r="P285" t="str">
            <v>luis.filho@facta.com.br</v>
          </cell>
          <cell r="Q285" t="str">
            <v>luis.filho@facta.com.br</v>
          </cell>
          <cell r="T285" t="str">
            <v>19770</v>
          </cell>
          <cell r="W285" t="str">
            <v>I</v>
          </cell>
        </row>
        <row r="286">
          <cell r="A286">
            <v>50590</v>
          </cell>
          <cell r="B286" t="str">
            <v>LOJA SAO JOSE DO RIO PRETO - SP</v>
          </cell>
          <cell r="C286">
            <v>8976</v>
          </cell>
          <cell r="D286" t="str">
            <v>ANDREY COSTA DA ROCHA</v>
          </cell>
          <cell r="E286">
            <v>3826</v>
          </cell>
          <cell r="F286" t="str">
            <v>CINARA REGINA KEMERICH</v>
          </cell>
          <cell r="G286">
            <v>41984</v>
          </cell>
          <cell r="H286" t="str">
            <v xml:space="preserve">GENERAL GLICÉRIO Nº 3181 </v>
          </cell>
          <cell r="I286" t="str">
            <v>CENTRO</v>
          </cell>
          <cell r="J286" t="str">
            <v>15015-400</v>
          </cell>
          <cell r="K286">
            <v>1349</v>
          </cell>
          <cell r="L286" t="str">
            <v>SP</v>
          </cell>
          <cell r="M286" t="str">
            <v>1733539580</v>
          </cell>
          <cell r="N286">
            <v>290</v>
          </cell>
          <cell r="O286" t="str">
            <v>1733539580</v>
          </cell>
          <cell r="P286" t="str">
            <v>mikaelle.gomes@factalojas.com.br</v>
          </cell>
          <cell r="Q286" t="str">
            <v>mikaelle.gomes@factalojas.com.br</v>
          </cell>
          <cell r="S286" t="str">
            <v>loja50590@factalojas.com.br</v>
          </cell>
          <cell r="T286" t="str">
            <v>LOJA50590</v>
          </cell>
          <cell r="U286" t="str">
            <v xml:space="preserve">_x000D_
</v>
          </cell>
          <cell r="W286" t="str">
            <v>A</v>
          </cell>
        </row>
        <row r="287">
          <cell r="A287">
            <v>50499</v>
          </cell>
          <cell r="B287" t="str">
            <v>LOJA RIBEIRAO PRETO - SP</v>
          </cell>
          <cell r="C287">
            <v>8976</v>
          </cell>
          <cell r="D287" t="str">
            <v>ANDREY COSTA DA ROCHA</v>
          </cell>
          <cell r="E287">
            <v>3826</v>
          </cell>
          <cell r="F287" t="str">
            <v>CINARA REGINA KEMERICH</v>
          </cell>
          <cell r="G287">
            <v>41955</v>
          </cell>
          <cell r="H287" t="str">
            <v>RUA AMADOR BUENO Nº 620</v>
          </cell>
          <cell r="I287" t="str">
            <v>CENTRO</v>
          </cell>
          <cell r="J287" t="str">
            <v>14010-070</v>
          </cell>
          <cell r="K287">
            <v>25539</v>
          </cell>
          <cell r="L287" t="str">
            <v>SP</v>
          </cell>
          <cell r="M287" t="str">
            <v>1631030084</v>
          </cell>
          <cell r="N287">
            <v>289</v>
          </cell>
          <cell r="O287" t="str">
            <v>1631030084</v>
          </cell>
          <cell r="P287" t="str">
            <v>andrey.rocha@facta.com.br</v>
          </cell>
          <cell r="Q287" t="str">
            <v>andrey.rocha@facta.com.br</v>
          </cell>
          <cell r="S287" t="str">
            <v>loja50499@factalojas.com.br</v>
          </cell>
          <cell r="T287" t="str">
            <v>LOJA50499</v>
          </cell>
          <cell r="U287" t="str">
            <v/>
          </cell>
          <cell r="W287" t="str">
            <v>A</v>
          </cell>
        </row>
        <row r="288">
          <cell r="A288">
            <v>23001</v>
          </cell>
          <cell r="B288" t="str">
            <v>LOJA MACEIO - AL</v>
          </cell>
          <cell r="C288">
            <v>12518</v>
          </cell>
          <cell r="D288" t="str">
            <v>LUANA SANTOS FURMANEK</v>
          </cell>
          <cell r="E288">
            <v>5452</v>
          </cell>
          <cell r="F288" t="str">
            <v>CRISTIANE CARVALHO GEBELATTO</v>
          </cell>
          <cell r="G288">
            <v>41947</v>
          </cell>
          <cell r="H288" t="str">
            <v>RUA BARÃO DE PENEDO , Nº 332</v>
          </cell>
          <cell r="I288" t="str">
            <v>CENTRO</v>
          </cell>
          <cell r="J288" t="str">
            <v>57020-340</v>
          </cell>
          <cell r="K288">
            <v>28932</v>
          </cell>
          <cell r="L288" t="str">
            <v>AL</v>
          </cell>
          <cell r="M288" t="str">
            <v>8230250599</v>
          </cell>
          <cell r="N288">
            <v>285</v>
          </cell>
          <cell r="O288" t="str">
            <v>8230250599</v>
          </cell>
          <cell r="P288" t="str">
            <v>thaisa.oliveira@factalojas.com.br</v>
          </cell>
          <cell r="Q288" t="str">
            <v>thaisa.oliveira@factalojas.com.br</v>
          </cell>
          <cell r="S288" t="str">
            <v>loja23001@factalojas.com.br</v>
          </cell>
          <cell r="T288" t="str">
            <v>23001</v>
          </cell>
          <cell r="U288" t="str">
            <v/>
          </cell>
          <cell r="W288" t="str">
            <v>A</v>
          </cell>
        </row>
        <row r="289">
          <cell r="A289">
            <v>22001</v>
          </cell>
          <cell r="B289" t="str">
            <v>LOJA MACAPA - AP</v>
          </cell>
          <cell r="C289">
            <v>7503</v>
          </cell>
          <cell r="D289" t="str">
            <v>NAYRA BASTOS DA SILVA</v>
          </cell>
          <cell r="E289">
            <v>3026</v>
          </cell>
          <cell r="F289" t="str">
            <v>MAYARA NOVAIS LOPES</v>
          </cell>
          <cell r="G289">
            <v>41946</v>
          </cell>
          <cell r="H289" t="str">
            <v>AV. CORIOLANO JUCA, 157 A</v>
          </cell>
          <cell r="I289" t="str">
            <v>CENTRAL</v>
          </cell>
          <cell r="J289" t="str">
            <v>68900-101</v>
          </cell>
          <cell r="K289">
            <v>970206</v>
          </cell>
          <cell r="L289" t="str">
            <v>AP</v>
          </cell>
          <cell r="M289" t="str">
            <v>9630822152</v>
          </cell>
          <cell r="N289">
            <v>287</v>
          </cell>
          <cell r="O289" t="str">
            <v>9630822152</v>
          </cell>
          <cell r="P289" t="str">
            <v>elisandrea.vidal@factalojas.com.br</v>
          </cell>
          <cell r="Q289" t="str">
            <v>elisandrea.vidal@factalojas.com.br</v>
          </cell>
          <cell r="S289" t="str">
            <v>loja22001@factalojas.com.br</v>
          </cell>
          <cell r="T289" t="str">
            <v>22001</v>
          </cell>
          <cell r="U289" t="str">
            <v/>
          </cell>
          <cell r="W289" t="str">
            <v>A</v>
          </cell>
        </row>
        <row r="290">
          <cell r="A290">
            <v>30938</v>
          </cell>
          <cell r="B290" t="str">
            <v>CENTRAL DE VENDAS PR (MARINGA)</v>
          </cell>
          <cell r="E290">
            <v>1851</v>
          </cell>
          <cell r="F290" t="str">
            <v>PATRICIA URBINATI STRAMANDINOLI</v>
          </cell>
          <cell r="G290">
            <v>41915</v>
          </cell>
          <cell r="H290" t="str">
            <v xml:space="preserve">RUA SANTOS DUMONT  Nº 2905  LOJA 1 </v>
          </cell>
          <cell r="I290" t="str">
            <v>ZONA 1</v>
          </cell>
          <cell r="J290" t="str">
            <v>87013-050</v>
          </cell>
          <cell r="K290">
            <v>6948176</v>
          </cell>
          <cell r="L290" t="str">
            <v>PR</v>
          </cell>
          <cell r="N290">
            <v>0</v>
          </cell>
          <cell r="Q290" t="str">
            <v>patricia.santos@facta.com.br</v>
          </cell>
          <cell r="W290" t="str">
            <v>I</v>
          </cell>
        </row>
        <row r="291">
          <cell r="A291">
            <v>50550</v>
          </cell>
          <cell r="B291" t="str">
            <v>LOJA OSASCO - SP</v>
          </cell>
          <cell r="C291">
            <v>8976</v>
          </cell>
          <cell r="D291" t="str">
            <v>ANDREY COSTA DA ROCHA</v>
          </cell>
          <cell r="E291">
            <v>3826</v>
          </cell>
          <cell r="F291" t="str">
            <v>CINARA REGINA KEMERICH</v>
          </cell>
          <cell r="G291">
            <v>41843</v>
          </cell>
          <cell r="H291" t="str">
            <v>R  PRIMITIVA VIANCO , 657</v>
          </cell>
          <cell r="I291" t="str">
            <v>CENTRO</v>
          </cell>
          <cell r="J291" t="str">
            <v>06016-008</v>
          </cell>
          <cell r="K291">
            <v>25264</v>
          </cell>
          <cell r="L291" t="str">
            <v>SP</v>
          </cell>
          <cell r="N291">
            <v>675</v>
          </cell>
          <cell r="P291" t="str">
            <v>vanessa.teixeira@factalojas.com.br</v>
          </cell>
          <cell r="Q291" t="str">
            <v>loja50550@factalojas.com.br;jucilene.andrade@facta.com.br</v>
          </cell>
          <cell r="S291" t="str">
            <v>loja50550@factalojas.com.br;jucilene.andrade@facta.com.br</v>
          </cell>
          <cell r="T291" t="str">
            <v>LOJA50550</v>
          </cell>
          <cell r="U291" t="str">
            <v/>
          </cell>
          <cell r="W291" t="str">
            <v>A</v>
          </cell>
        </row>
        <row r="292">
          <cell r="A292">
            <v>15002</v>
          </cell>
          <cell r="B292" t="str">
            <v>LOJA GOIANIA - GO</v>
          </cell>
          <cell r="C292">
            <v>14442</v>
          </cell>
          <cell r="D292" t="str">
            <v>ADRIELE FERNANDA VIEIRA DA SILVA</v>
          </cell>
          <cell r="E292">
            <v>3026</v>
          </cell>
          <cell r="F292" t="str">
            <v>MAYARA NOVAIS LOPES</v>
          </cell>
          <cell r="G292">
            <v>41778</v>
          </cell>
          <cell r="H292" t="str">
            <v>RUA 02, 230 LJ 2 - EDIF CARLOS CHAGAS LOJA 2</v>
          </cell>
          <cell r="I292" t="str">
            <v>SETOR CENTRAL</v>
          </cell>
          <cell r="J292" t="str">
            <v>74013-020</v>
          </cell>
          <cell r="K292">
            <v>1336</v>
          </cell>
          <cell r="L292" t="str">
            <v>GO</v>
          </cell>
          <cell r="M292" t="str">
            <v>6239204600</v>
          </cell>
          <cell r="N292">
            <v>274</v>
          </cell>
          <cell r="O292" t="str">
            <v>6239204600</v>
          </cell>
          <cell r="P292" t="str">
            <v>thiago.gomes@factalojas.com.br</v>
          </cell>
          <cell r="Q292" t="str">
            <v>adriele.silva@factalojas.com.br;loja15002@factalojas.com.br</v>
          </cell>
          <cell r="S292" t="str">
            <v>adriele.silva@factalojas.com.br;loja15002@factalojas.com.br</v>
          </cell>
          <cell r="T292" t="str">
            <v>15002</v>
          </cell>
          <cell r="U292" t="str">
            <v/>
          </cell>
          <cell r="W292" t="str">
            <v>A</v>
          </cell>
        </row>
        <row r="293">
          <cell r="A293">
            <v>50400</v>
          </cell>
          <cell r="B293" t="str">
            <v>LOJA SAO VICENTE - SP</v>
          </cell>
          <cell r="C293">
            <v>95</v>
          </cell>
          <cell r="D293" t="str">
            <v>SILVANA DE FATIMA CENCI</v>
          </cell>
          <cell r="E293">
            <v>3826</v>
          </cell>
          <cell r="F293" t="str">
            <v>CINARA REGINA KEMERICH</v>
          </cell>
          <cell r="G293">
            <v>41771</v>
          </cell>
          <cell r="H293" t="str">
            <v>RUA JACOB EMERICK, 393 LOJA 2</v>
          </cell>
          <cell r="I293" t="str">
            <v>CENTRO</v>
          </cell>
          <cell r="J293" t="str">
            <v>11310-010</v>
          </cell>
          <cell r="K293">
            <v>25327</v>
          </cell>
          <cell r="L293" t="str">
            <v>SP</v>
          </cell>
          <cell r="M293" t="str">
            <v>1333710607</v>
          </cell>
          <cell r="N293">
            <v>275</v>
          </cell>
          <cell r="O293" t="str">
            <v>1333710607</v>
          </cell>
          <cell r="P293" t="str">
            <v>adriele.santos@factalojas.com.br</v>
          </cell>
          <cell r="Q293" t="str">
            <v>adriele.santos@factalojas.com.br</v>
          </cell>
          <cell r="S293" t="str">
            <v>loja50400@factalojas.com.br</v>
          </cell>
          <cell r="T293" t="str">
            <v>SP50400</v>
          </cell>
          <cell r="U293" t="str">
            <v xml:space="preserve">_x000D_
</v>
          </cell>
          <cell r="W293" t="str">
            <v>A</v>
          </cell>
        </row>
        <row r="294">
          <cell r="A294">
            <v>1495</v>
          </cell>
          <cell r="B294" t="str">
            <v>CALL CENTER PRODUTOS E SERVICOS 7</v>
          </cell>
          <cell r="C294">
            <v>14240</v>
          </cell>
          <cell r="D294" t="str">
            <v>ELISABETE DE MORAIS FLORES CARDOSO</v>
          </cell>
          <cell r="E294">
            <v>15556</v>
          </cell>
          <cell r="F294" t="str">
            <v>FERNANDA APARECIDA TOMAZINI</v>
          </cell>
          <cell r="G294">
            <v>41764</v>
          </cell>
          <cell r="H294" t="str">
            <v>RUA BORGES DE MEDEIROS 410</v>
          </cell>
          <cell r="I294" t="str">
            <v>CENTRO</v>
          </cell>
          <cell r="J294" t="str">
            <v>90020-023</v>
          </cell>
          <cell r="K294">
            <v>35</v>
          </cell>
          <cell r="L294" t="str">
            <v>RS</v>
          </cell>
          <cell r="M294" t="str">
            <v>5130761818</v>
          </cell>
          <cell r="N294">
            <v>867</v>
          </cell>
          <cell r="O294" t="str">
            <v>5130761818</v>
          </cell>
          <cell r="P294" t="str">
            <v>teresinha.soares@facta.com.br</v>
          </cell>
          <cell r="Q294" t="str">
            <v>elisabete.cardoso@facta.com.br;luiz.medeiros@facta.com.br;alisson.pereira@facta.com.br</v>
          </cell>
          <cell r="S294" t="str">
            <v>elisabete.cardoso@facta.com.br;alisson.pereira@facta.com.br;luiz.medeiros@facta.com.br</v>
          </cell>
          <cell r="T294" t="str">
            <v>vendasinss1</v>
          </cell>
          <cell r="U294" t="str">
            <v/>
          </cell>
          <cell r="W294" t="str">
            <v>A</v>
          </cell>
        </row>
        <row r="295">
          <cell r="A295">
            <v>1496</v>
          </cell>
          <cell r="B295" t="str">
            <v>LOJA TRAMANDAI - RS</v>
          </cell>
          <cell r="C295">
            <v>7835</v>
          </cell>
          <cell r="D295" t="str">
            <v>JOSIANE DE SOUZA MONTEIRO DOS SANTOS</v>
          </cell>
          <cell r="E295">
            <v>763</v>
          </cell>
          <cell r="F295" t="str">
            <v>ADRIELE DA SILVA SOUZA</v>
          </cell>
          <cell r="G295">
            <v>41764</v>
          </cell>
          <cell r="H295" t="str">
            <v>FERNANDES BASTOS 329 SALA 28 E 29</v>
          </cell>
          <cell r="I295" t="str">
            <v>CENTRO</v>
          </cell>
          <cell r="J295" t="str">
            <v>95590-000</v>
          </cell>
          <cell r="K295">
            <v>37</v>
          </cell>
          <cell r="L295" t="str">
            <v>RS</v>
          </cell>
          <cell r="M295" t="str">
            <v>5136845298</v>
          </cell>
          <cell r="N295">
            <v>724</v>
          </cell>
          <cell r="O295" t="str">
            <v>5136845298</v>
          </cell>
          <cell r="P295" t="str">
            <v>lucas.silva@factalojas.com.br</v>
          </cell>
          <cell r="Q295" t="str">
            <v>loja1496@factalojas.com.br;lucas.silva@factalojas.com.br</v>
          </cell>
          <cell r="S295" t="str">
            <v>loja1496@factalojas.com.br;lucas.silva@factalojas.com.br</v>
          </cell>
          <cell r="T295" t="str">
            <v>loja1496</v>
          </cell>
          <cell r="U295" t="str">
            <v/>
          </cell>
          <cell r="W295" t="str">
            <v>A</v>
          </cell>
        </row>
        <row r="296">
          <cell r="A296">
            <v>1497</v>
          </cell>
          <cell r="B296" t="str">
            <v>LOJA TORRES - RS</v>
          </cell>
          <cell r="C296">
            <v>6763</v>
          </cell>
          <cell r="D296" t="str">
            <v>JULIE BARBOSA</v>
          </cell>
          <cell r="E296">
            <v>763</v>
          </cell>
          <cell r="F296" t="str">
            <v>ADRIELE DA SILVA SOUZA</v>
          </cell>
          <cell r="G296">
            <v>41764</v>
          </cell>
          <cell r="H296" t="str">
            <v>XV DE NOVEMBRO 212 LOJA 01</v>
          </cell>
          <cell r="I296" t="str">
            <v>CENTRO</v>
          </cell>
          <cell r="J296" t="str">
            <v>95560-000</v>
          </cell>
          <cell r="K296">
            <v>76</v>
          </cell>
          <cell r="L296" t="str">
            <v>RS</v>
          </cell>
          <cell r="M296" t="str">
            <v>5135008503</v>
          </cell>
          <cell r="N296">
            <v>723</v>
          </cell>
          <cell r="O296" t="str">
            <v>5135008503</v>
          </cell>
          <cell r="P296" t="str">
            <v>tatiane.silva@factalojas.com.br</v>
          </cell>
          <cell r="Q296" t="str">
            <v>tatiane.silva@factalojas.com.br;loja1497@factalojas.com.br</v>
          </cell>
          <cell r="S296" t="str">
            <v>tatiane.silva@factalojas.com.br;loja1497@factalojas.com.br</v>
          </cell>
          <cell r="T296" t="str">
            <v>loja1497</v>
          </cell>
          <cell r="U296" t="str">
            <v/>
          </cell>
          <cell r="W296" t="str">
            <v>A</v>
          </cell>
        </row>
        <row r="297">
          <cell r="A297">
            <v>1498</v>
          </cell>
          <cell r="B297" t="str">
            <v>CALL CENTER - DEBITO DIGITAL</v>
          </cell>
          <cell r="C297">
            <v>11407</v>
          </cell>
          <cell r="D297" t="str">
            <v>ALISSON MONEGO PEREIRA</v>
          </cell>
          <cell r="E297">
            <v>15556</v>
          </cell>
          <cell r="F297" t="str">
            <v>FERNANDA APARECIDA TOMAZINI</v>
          </cell>
          <cell r="G297">
            <v>41764</v>
          </cell>
          <cell r="H297" t="str">
            <v>BROGES DE MEDEIROS 410</v>
          </cell>
          <cell r="I297" t="str">
            <v>CENTRO</v>
          </cell>
          <cell r="J297" t="str">
            <v>90020-100</v>
          </cell>
          <cell r="K297">
            <v>35</v>
          </cell>
          <cell r="L297" t="str">
            <v>RS</v>
          </cell>
          <cell r="M297" t="str">
            <v>5130761818</v>
          </cell>
          <cell r="N297">
            <v>211</v>
          </cell>
          <cell r="O297" t="str">
            <v>5130761818</v>
          </cell>
          <cell r="P297" t="str">
            <v>william.menegat@facta.com.br</v>
          </cell>
          <cell r="Q297" t="str">
            <v>william.menegat@facta.com.br</v>
          </cell>
          <cell r="S297" t="str">
            <v/>
          </cell>
          <cell r="T297" t="str">
            <v>produtos</v>
          </cell>
          <cell r="U297" t="str">
            <v xml:space="preserve">WILLIAM BONIATTI MENEGAT_x000D_
01544064063_x000D_
2085395438_x000D_
25/11/1987_x000D_
</v>
          </cell>
          <cell r="W297" t="str">
            <v>A</v>
          </cell>
        </row>
        <row r="298">
          <cell r="A298">
            <v>15001</v>
          </cell>
          <cell r="B298" t="str">
            <v>CENTRAL DE VENDAS GO</v>
          </cell>
          <cell r="E298">
            <v>7068</v>
          </cell>
          <cell r="F298" t="str">
            <v>CLEBER ROBERTO BARBOSA DOS SANTOS</v>
          </cell>
          <cell r="G298">
            <v>41758</v>
          </cell>
          <cell r="H298" t="str">
            <v>RUA 02, Nº 230 EDIF CARLOS CHAGAS LOJA 2</v>
          </cell>
          <cell r="I298" t="str">
            <v>SETOR CENTRAL</v>
          </cell>
          <cell r="J298" t="str">
            <v>74013-020</v>
          </cell>
          <cell r="K298">
            <v>1336</v>
          </cell>
          <cell r="L298" t="str">
            <v>GO</v>
          </cell>
          <cell r="M298" t="str">
            <v xml:space="preserve">6239204600 </v>
          </cell>
          <cell r="N298">
            <v>239</v>
          </cell>
          <cell r="O298" t="str">
            <v xml:space="preserve">6239204600 </v>
          </cell>
          <cell r="P298" t="str">
            <v>contato.go@riosulemprestimos.com.br</v>
          </cell>
          <cell r="Q298" t="str">
            <v>s</v>
          </cell>
          <cell r="T298" t="str">
            <v>vendasgo</v>
          </cell>
          <cell r="W298" t="str">
            <v>I</v>
          </cell>
        </row>
        <row r="299">
          <cell r="A299">
            <v>18900</v>
          </cell>
          <cell r="B299" t="str">
            <v>LOJA JOAO PESSOA - PB</v>
          </cell>
          <cell r="C299">
            <v>9798</v>
          </cell>
          <cell r="D299" t="str">
            <v>WHANDERSON MATHEUS ARAUJO DA COSTA</v>
          </cell>
          <cell r="E299">
            <v>5452</v>
          </cell>
          <cell r="F299" t="str">
            <v>CRISTIANE CARVALHO GEBELATTO</v>
          </cell>
          <cell r="G299">
            <v>41695</v>
          </cell>
          <cell r="H299" t="str">
            <v>RUA TREZE DE MAIO, 391</v>
          </cell>
          <cell r="I299" t="str">
            <v>CENTRO</v>
          </cell>
          <cell r="J299" t="str">
            <v>58013-070</v>
          </cell>
          <cell r="K299">
            <v>970676</v>
          </cell>
          <cell r="L299" t="str">
            <v>PB</v>
          </cell>
          <cell r="M299" t="str">
            <v>8330230223</v>
          </cell>
          <cell r="N299">
            <v>267</v>
          </cell>
          <cell r="O299" t="str">
            <v>8330230223</v>
          </cell>
          <cell r="P299" t="str">
            <v>loja18900@factalojas.com.br</v>
          </cell>
          <cell r="Q299" t="str">
            <v>loja18900@factalojas.com.br</v>
          </cell>
          <cell r="S299" t="str">
            <v>loja18900@factalojas.com.br</v>
          </cell>
          <cell r="T299" t="str">
            <v>vendaspb</v>
          </cell>
          <cell r="U299" t="str">
            <v/>
          </cell>
          <cell r="W299" t="str">
            <v>A</v>
          </cell>
        </row>
        <row r="300">
          <cell r="A300">
            <v>50300</v>
          </cell>
          <cell r="B300" t="str">
            <v>LOJA SÃO PAULO - LAPA</v>
          </cell>
          <cell r="E300">
            <v>3786</v>
          </cell>
          <cell r="F300" t="str">
            <v>EDUARDO MURENA DA SILVA</v>
          </cell>
          <cell r="G300">
            <v>41648</v>
          </cell>
          <cell r="H300" t="str">
            <v xml:space="preserve">RUA NOSSA SENHORA DA LAPA, 685 </v>
          </cell>
          <cell r="I300" t="str">
            <v>LAPA</v>
          </cell>
          <cell r="J300" t="str">
            <v>05072-000</v>
          </cell>
          <cell r="K300">
            <v>442</v>
          </cell>
          <cell r="L300" t="str">
            <v>SP</v>
          </cell>
          <cell r="M300" t="str">
            <v>01138310691</v>
          </cell>
          <cell r="N300">
            <v>262</v>
          </cell>
          <cell r="O300" t="str">
            <v>01138310691</v>
          </cell>
          <cell r="T300" t="str">
            <v>inativado</v>
          </cell>
          <cell r="U300" t="str">
            <v>IANTIVADO POR SOLICITAÇÃO DE CLEBER EM 18/02/2014.</v>
          </cell>
          <cell r="W300" t="str">
            <v>I</v>
          </cell>
        </row>
        <row r="301">
          <cell r="A301">
            <v>1494</v>
          </cell>
          <cell r="B301" t="str">
            <v>LOJA IJUI 2 - RS</v>
          </cell>
          <cell r="C301">
            <v>389</v>
          </cell>
          <cell r="D301" t="str">
            <v>ANDRESSA DA SILVA DA SILVA</v>
          </cell>
          <cell r="E301">
            <v>763</v>
          </cell>
          <cell r="F301" t="str">
            <v>ADRIELE DA SILVA SOUZA</v>
          </cell>
          <cell r="G301">
            <v>41575</v>
          </cell>
          <cell r="H301" t="str">
            <v>RUA FLORIANO PEIXOTO, N°239</v>
          </cell>
          <cell r="I301" t="str">
            <v>CENTRO</v>
          </cell>
          <cell r="J301" t="str">
            <v>98700-000</v>
          </cell>
          <cell r="K301">
            <v>42</v>
          </cell>
          <cell r="L301" t="str">
            <v>RS</v>
          </cell>
          <cell r="M301" t="str">
            <v>5533311486</v>
          </cell>
          <cell r="N301">
            <v>254</v>
          </cell>
          <cell r="O301" t="str">
            <v>5533311486</v>
          </cell>
          <cell r="P301" t="str">
            <v>andressa.silva@facta.com.br</v>
          </cell>
          <cell r="Q301" t="str">
            <v>loja1494@facta.com.br</v>
          </cell>
          <cell r="S301" t="str">
            <v>loja1494@facta.com.br</v>
          </cell>
          <cell r="T301" t="str">
            <v>1494</v>
          </cell>
          <cell r="U301" t="str">
            <v>05/04/23 - Inativ 3852740.</v>
          </cell>
          <cell r="W301" t="str">
            <v>I</v>
          </cell>
        </row>
        <row r="302">
          <cell r="A302">
            <v>19541</v>
          </cell>
          <cell r="B302" t="str">
            <v>GBOEX 7 DE SETEMBRO</v>
          </cell>
          <cell r="E302">
            <v>0</v>
          </cell>
          <cell r="G302">
            <v>41542</v>
          </cell>
          <cell r="H302" t="str">
            <v>RUA 7 DE SETEMBRO, 604</v>
          </cell>
          <cell r="I302" t="str">
            <v>CENTRO</v>
          </cell>
          <cell r="J302" t="str">
            <v>90010-190</v>
          </cell>
          <cell r="K302">
            <v>35</v>
          </cell>
          <cell r="L302" t="str">
            <v>RS</v>
          </cell>
          <cell r="N302">
            <v>206</v>
          </cell>
          <cell r="T302" t="str">
            <v>7set</v>
          </cell>
          <cell r="W302" t="str">
            <v>I</v>
          </cell>
        </row>
        <row r="303">
          <cell r="A303">
            <v>3827</v>
          </cell>
          <cell r="B303" t="str">
            <v>LOJA MARINGA - ZONA 1 - PR 2</v>
          </cell>
          <cell r="C303">
            <v>5897</v>
          </cell>
          <cell r="D303" t="str">
            <v>THAINARA DO CARMO SANTOS</v>
          </cell>
          <cell r="E303">
            <v>3826</v>
          </cell>
          <cell r="F303" t="str">
            <v>CINARA REGINA KEMERICH</v>
          </cell>
          <cell r="G303">
            <v>41541</v>
          </cell>
          <cell r="H303" t="str">
            <v>AVENIDA TAMANDARÉ 655 LOJA 58</v>
          </cell>
          <cell r="I303" t="str">
            <v>ZONA 1</v>
          </cell>
          <cell r="J303" t="str">
            <v>87013-210</v>
          </cell>
          <cell r="K303">
            <v>6948176</v>
          </cell>
          <cell r="L303" t="str">
            <v>PR</v>
          </cell>
          <cell r="M303" t="str">
            <v>4431421179</v>
          </cell>
          <cell r="N303">
            <v>431</v>
          </cell>
          <cell r="O303" t="str">
            <v>4431421179</v>
          </cell>
          <cell r="P303" t="str">
            <v>loja3827@factalojas.com.br;vitoria.silva@factalojas.com.br</v>
          </cell>
          <cell r="Q303" t="str">
            <v>thainara.santos@facta.com.br</v>
          </cell>
          <cell r="S303" t="str">
            <v>loja3827@factalojas.com.br</v>
          </cell>
          <cell r="T303" t="str">
            <v>MARINGA2</v>
          </cell>
          <cell r="U303" t="str">
            <v/>
          </cell>
          <cell r="W303" t="str">
            <v>A</v>
          </cell>
        </row>
        <row r="304">
          <cell r="A304">
            <v>7917</v>
          </cell>
          <cell r="B304" t="str">
            <v>LOJA BA - TIAGO AGUIAR SOARES</v>
          </cell>
          <cell r="E304">
            <v>3246</v>
          </cell>
          <cell r="F304" t="str">
            <v>LORENA FERREIRA VIEIRA</v>
          </cell>
          <cell r="G304">
            <v>41494</v>
          </cell>
          <cell r="K304">
            <v>1002</v>
          </cell>
          <cell r="L304" t="str">
            <v>BA</v>
          </cell>
          <cell r="N304">
            <v>126</v>
          </cell>
          <cell r="T304" t="str">
            <v>7917</v>
          </cell>
          <cell r="W304" t="str">
            <v>I</v>
          </cell>
        </row>
        <row r="305">
          <cell r="A305">
            <v>7918</v>
          </cell>
          <cell r="B305" t="str">
            <v>LOJA BA - CINTIA SANTOS DE ASSIS</v>
          </cell>
          <cell r="E305">
            <v>3246</v>
          </cell>
          <cell r="F305" t="str">
            <v>LORENA FERREIRA VIEIRA</v>
          </cell>
          <cell r="G305">
            <v>41494</v>
          </cell>
          <cell r="K305">
            <v>1002</v>
          </cell>
          <cell r="L305" t="str">
            <v>BA</v>
          </cell>
          <cell r="N305">
            <v>126</v>
          </cell>
          <cell r="T305" t="str">
            <v>7918</v>
          </cell>
          <cell r="W305" t="str">
            <v>I</v>
          </cell>
        </row>
        <row r="306">
          <cell r="A306">
            <v>7919</v>
          </cell>
          <cell r="B306" t="str">
            <v>LOJA BA - DANILA MOTA LOPES</v>
          </cell>
          <cell r="E306">
            <v>3246</v>
          </cell>
          <cell r="F306" t="str">
            <v>LORENA FERREIRA VIEIRA</v>
          </cell>
          <cell r="G306">
            <v>41494</v>
          </cell>
          <cell r="K306">
            <v>1002</v>
          </cell>
          <cell r="L306" t="str">
            <v>BA</v>
          </cell>
          <cell r="N306">
            <v>126</v>
          </cell>
          <cell r="T306" t="str">
            <v>7919</v>
          </cell>
          <cell r="W306" t="str">
            <v>I</v>
          </cell>
        </row>
        <row r="307">
          <cell r="A307">
            <v>16900</v>
          </cell>
          <cell r="B307" t="str">
            <v>CENTRAL DE VENDAS GO</v>
          </cell>
          <cell r="E307">
            <v>7068</v>
          </cell>
          <cell r="F307" t="str">
            <v>CLEBER ROBERTO BARBOSA DOS SANTOS</v>
          </cell>
          <cell r="G307">
            <v>41484</v>
          </cell>
          <cell r="H307" t="str">
            <v>RUA: 02 - Nº 230 . ESQUINA AV. GOIAS</v>
          </cell>
          <cell r="I307" t="str">
            <v>CENTRO</v>
          </cell>
          <cell r="J307" t="str">
            <v>74013-020</v>
          </cell>
          <cell r="K307">
            <v>1336</v>
          </cell>
          <cell r="L307" t="str">
            <v>GO</v>
          </cell>
          <cell r="M307" t="str">
            <v xml:space="preserve">6239204600 </v>
          </cell>
          <cell r="N307">
            <v>239</v>
          </cell>
          <cell r="O307" t="str">
            <v xml:space="preserve">6239204600 </v>
          </cell>
          <cell r="P307" t="str">
            <v>fernanda.daflon@facta.com.br</v>
          </cell>
          <cell r="Q307" t="str">
            <v xml:space="preserve">contato.go@riosulemprestimos.com.br  </v>
          </cell>
          <cell r="T307" t="str">
            <v>vendasdf</v>
          </cell>
          <cell r="W307" t="str">
            <v>I</v>
          </cell>
        </row>
        <row r="308">
          <cell r="A308">
            <v>7916</v>
          </cell>
          <cell r="B308" t="str">
            <v>LOJA BA - JORGE ROBERTO DE ARAUJO FERREIRA JUNIOR</v>
          </cell>
          <cell r="E308">
            <v>2751</v>
          </cell>
          <cell r="F308" t="str">
            <v>SIRLENE SANTOS DE SOUZA BARBOSA</v>
          </cell>
          <cell r="G308">
            <v>41478</v>
          </cell>
          <cell r="K308">
            <v>1002</v>
          </cell>
          <cell r="L308" t="str">
            <v>BA</v>
          </cell>
          <cell r="N308">
            <v>634</v>
          </cell>
          <cell r="T308" t="str">
            <v>LOJAJORGE</v>
          </cell>
          <cell r="U308" t="str">
            <v>inat a pedido de Lorena 19/11/13</v>
          </cell>
          <cell r="W308" t="str">
            <v>I</v>
          </cell>
        </row>
        <row r="309">
          <cell r="A309">
            <v>7915</v>
          </cell>
          <cell r="B309" t="str">
            <v>LOJA BA - LUDIMILLA SILVA ALVES DOS SANTOS</v>
          </cell>
          <cell r="E309">
            <v>1933</v>
          </cell>
          <cell r="F309" t="str">
            <v>LORENA PALUMBO GAVAZZA</v>
          </cell>
          <cell r="G309">
            <v>41473</v>
          </cell>
          <cell r="K309">
            <v>1002</v>
          </cell>
          <cell r="L309" t="str">
            <v>BA</v>
          </cell>
          <cell r="N309">
            <v>126</v>
          </cell>
          <cell r="T309" t="str">
            <v>LOJABALUDI</v>
          </cell>
          <cell r="U309" t="str">
            <v>inat a pedido de Lorena 19/11/13</v>
          </cell>
          <cell r="W309" t="str">
            <v>I</v>
          </cell>
        </row>
        <row r="310">
          <cell r="A310">
            <v>1493</v>
          </cell>
          <cell r="B310" t="str">
            <v>CALL CENTER PRODUTOS E SERVICOS</v>
          </cell>
          <cell r="C310">
            <v>11407</v>
          </cell>
          <cell r="D310" t="str">
            <v>ALISSON MONEGO PEREIRA</v>
          </cell>
          <cell r="E310">
            <v>15556</v>
          </cell>
          <cell r="F310" t="str">
            <v>FERNANDA APARECIDA TOMAZINI</v>
          </cell>
          <cell r="G310">
            <v>41471</v>
          </cell>
          <cell r="H310" t="str">
            <v>AV. BORGES DE MEDEIROS 410/8 ANDAR</v>
          </cell>
          <cell r="I310" t="str">
            <v>CENTRO</v>
          </cell>
          <cell r="J310" t="str">
            <v>90020-022</v>
          </cell>
          <cell r="K310">
            <v>35</v>
          </cell>
          <cell r="L310" t="str">
            <v>RS</v>
          </cell>
          <cell r="M310" t="str">
            <v>5130761818</v>
          </cell>
          <cell r="N310">
            <v>866</v>
          </cell>
          <cell r="O310" t="str">
            <v>5130761818</v>
          </cell>
          <cell r="P310" t="str">
            <v>flavia.borges@factacall.com.br</v>
          </cell>
          <cell r="Q310" t="str">
            <v>flavia.borges@factacall.com.br</v>
          </cell>
          <cell r="S310" t="str">
            <v/>
          </cell>
          <cell r="T310" t="str">
            <v>1493</v>
          </cell>
          <cell r="U310" t="str">
            <v>dados bancários do Pedro cadastro com autorização do Cleber em 06.09.13</v>
          </cell>
          <cell r="W310" t="str">
            <v>A</v>
          </cell>
        </row>
        <row r="311">
          <cell r="A311">
            <v>13900</v>
          </cell>
          <cell r="B311" t="str">
            <v>LOJA SAO LUIS - MA</v>
          </cell>
          <cell r="C311">
            <v>5313</v>
          </cell>
          <cell r="D311" t="str">
            <v>LUCIANE DA SILVA FONSECA PINHEIRO</v>
          </cell>
          <cell r="E311">
            <v>3026</v>
          </cell>
          <cell r="F311" t="str">
            <v>MAYARA NOVAIS LOPES</v>
          </cell>
          <cell r="G311">
            <v>41459</v>
          </cell>
          <cell r="H311" t="str">
            <v>RUA DO SOL , 585</v>
          </cell>
          <cell r="I311" t="str">
            <v>CENTRO</v>
          </cell>
          <cell r="J311" t="str">
            <v>65020-590</v>
          </cell>
          <cell r="K311">
            <v>970695</v>
          </cell>
          <cell r="L311" t="str">
            <v>MA</v>
          </cell>
          <cell r="M311" t="str">
            <v>9833044514</v>
          </cell>
          <cell r="N311">
            <v>234</v>
          </cell>
          <cell r="O311" t="str">
            <v>9833044514</v>
          </cell>
          <cell r="P311" t="str">
            <v>katiuce.souza@factalojas.com.br</v>
          </cell>
          <cell r="Q311" t="str">
            <v>loja13900@factalojas.com.br</v>
          </cell>
          <cell r="S311" t="str">
            <v>loja13900@factalojas.com.br</v>
          </cell>
          <cell r="T311" t="str">
            <v>vendasma</v>
          </cell>
          <cell r="U311" t="str">
            <v xml:space="preserve">_x000D_
</v>
          </cell>
          <cell r="W311" t="str">
            <v>A</v>
          </cell>
        </row>
        <row r="312">
          <cell r="A312">
            <v>3817</v>
          </cell>
          <cell r="B312" t="str">
            <v>LOJA LONDRINA - PR</v>
          </cell>
          <cell r="C312">
            <v>5897</v>
          </cell>
          <cell r="D312" t="str">
            <v>THAINARA DO CARMO SANTOS</v>
          </cell>
          <cell r="E312">
            <v>3826</v>
          </cell>
          <cell r="F312" t="str">
            <v>CINARA REGINA KEMERICH</v>
          </cell>
          <cell r="G312">
            <v>41451</v>
          </cell>
          <cell r="H312" t="str">
            <v xml:space="preserve">AV PARANÁ 117 A  </v>
          </cell>
          <cell r="I312" t="str">
            <v xml:space="preserve">CENTRO </v>
          </cell>
          <cell r="J312" t="str">
            <v>86020-360</v>
          </cell>
          <cell r="K312">
            <v>1003</v>
          </cell>
          <cell r="L312" t="str">
            <v>PR</v>
          </cell>
          <cell r="M312" t="str">
            <v>4331421820</v>
          </cell>
          <cell r="N312">
            <v>208</v>
          </cell>
          <cell r="O312" t="str">
            <v>4331421820</v>
          </cell>
          <cell r="P312" t="str">
            <v>pamela.silva@factalojas.com.br</v>
          </cell>
          <cell r="Q312" t="str">
            <v>pamela.silva@factalojas.com.br</v>
          </cell>
          <cell r="S312" t="str">
            <v>loja3817@factalojas.com.br</v>
          </cell>
          <cell r="T312" t="str">
            <v>3817</v>
          </cell>
          <cell r="U312" t="str">
            <v/>
          </cell>
          <cell r="W312" t="str">
            <v>A</v>
          </cell>
        </row>
        <row r="313">
          <cell r="A313">
            <v>15501</v>
          </cell>
          <cell r="B313" t="str">
            <v xml:space="preserve">LOJA GBOEX BRASILIA </v>
          </cell>
          <cell r="E313">
            <v>0</v>
          </cell>
          <cell r="G313">
            <v>41450</v>
          </cell>
          <cell r="H313" t="str">
            <v>SCS Q4 - BL A - ED BERNARDO SAYÃO, 216 LJ 220/226</v>
          </cell>
          <cell r="I313" t="str">
            <v xml:space="preserve">CENTRO </v>
          </cell>
          <cell r="J313" t="str">
            <v>70304-000</v>
          </cell>
          <cell r="K313">
            <v>350</v>
          </cell>
          <cell r="L313" t="str">
            <v>DF</v>
          </cell>
          <cell r="M313" t="str">
            <v xml:space="preserve">6132231398 </v>
          </cell>
          <cell r="N313">
            <v>220</v>
          </cell>
          <cell r="O313" t="str">
            <v xml:space="preserve">6132231398 </v>
          </cell>
          <cell r="P313" t="str">
            <v/>
          </cell>
          <cell r="T313" t="str">
            <v>GBOEXBRASILIA</v>
          </cell>
          <cell r="W313" t="str">
            <v>I</v>
          </cell>
        </row>
        <row r="314">
          <cell r="A314">
            <v>16500</v>
          </cell>
          <cell r="B314" t="str">
            <v>GBOEX REPRESENTAÇÃO JOÃO PESSOA</v>
          </cell>
          <cell r="E314">
            <v>0</v>
          </cell>
          <cell r="G314">
            <v>41450</v>
          </cell>
          <cell r="H314" t="str">
            <v>AV. PRES EPITACIO PESSOA, 1251 SALA 611</v>
          </cell>
          <cell r="I314" t="str">
            <v xml:space="preserve">BAIRROS DOS ESTADOS </v>
          </cell>
          <cell r="J314" t="str">
            <v>58030-001</v>
          </cell>
          <cell r="K314">
            <v>970676</v>
          </cell>
          <cell r="L314" t="str">
            <v>PB</v>
          </cell>
          <cell r="M314" t="str">
            <v xml:space="preserve">8332437985 </v>
          </cell>
          <cell r="N314">
            <v>223</v>
          </cell>
          <cell r="O314" t="str">
            <v xml:space="preserve">8332437985 </v>
          </cell>
          <cell r="P314" t="str">
            <v>gianinagaby@hotmail.com</v>
          </cell>
          <cell r="Q314" t="str">
            <v/>
          </cell>
          <cell r="T314" t="str">
            <v>GBOEXJP</v>
          </cell>
          <cell r="W314" t="str">
            <v>I</v>
          </cell>
        </row>
        <row r="315">
          <cell r="A315">
            <v>17500</v>
          </cell>
          <cell r="B315" t="str">
            <v>LOJA BELEM - PA</v>
          </cell>
          <cell r="C315">
            <v>7503</v>
          </cell>
          <cell r="D315" t="str">
            <v>NAYRA BASTOS DA SILVA</v>
          </cell>
          <cell r="E315">
            <v>3026</v>
          </cell>
          <cell r="F315" t="str">
            <v>MAYARA NOVAIS LOPES</v>
          </cell>
          <cell r="G315">
            <v>41450</v>
          </cell>
          <cell r="H315" t="str">
            <v>AV. PRESIDENTE VARGAS, ED. PALACIO DO RADIO 35, LO</v>
          </cell>
          <cell r="I315" t="str">
            <v xml:space="preserve">COMERCIO </v>
          </cell>
          <cell r="J315" t="str">
            <v>66010-000</v>
          </cell>
          <cell r="K315">
            <v>584</v>
          </cell>
          <cell r="L315" t="str">
            <v>PA</v>
          </cell>
          <cell r="M315" t="str">
            <v>9133550432</v>
          </cell>
          <cell r="N315">
            <v>226</v>
          </cell>
          <cell r="O315" t="str">
            <v>9133550432</v>
          </cell>
          <cell r="P315" t="str">
            <v>Loja17500@factalojas.com.br</v>
          </cell>
          <cell r="Q315" t="str">
            <v>paloma.oliveira@factalojas.com.br</v>
          </cell>
          <cell r="S315" t="str">
            <v>loja17500@factalojas.com.br</v>
          </cell>
          <cell r="T315" t="str">
            <v>17500</v>
          </cell>
          <cell r="U315" t="str">
            <v xml:space="preserve">_x000D_
</v>
          </cell>
          <cell r="W315" t="str">
            <v>A</v>
          </cell>
        </row>
        <row r="316">
          <cell r="A316">
            <v>18500</v>
          </cell>
          <cell r="B316" t="str">
            <v>LOJA GBOEX MANAUS</v>
          </cell>
          <cell r="E316">
            <v>4011</v>
          </cell>
          <cell r="F316" t="str">
            <v>ADRIANA DE SOUZA ALMEIDA</v>
          </cell>
          <cell r="G316">
            <v>41450</v>
          </cell>
          <cell r="H316" t="str">
            <v xml:space="preserve">RUA SETE DE SETEMBRO, 815 SALAS 12/11 </v>
          </cell>
          <cell r="I316" t="str">
            <v xml:space="preserve">CENTRO </v>
          </cell>
          <cell r="J316" t="str">
            <v>69005-140</v>
          </cell>
          <cell r="K316">
            <v>3555</v>
          </cell>
          <cell r="L316" t="str">
            <v>AM</v>
          </cell>
          <cell r="M316" t="str">
            <v xml:space="preserve">9232326981 </v>
          </cell>
          <cell r="N316">
            <v>227</v>
          </cell>
          <cell r="O316" t="str">
            <v xml:space="preserve">9232326981 </v>
          </cell>
          <cell r="P316" t="str">
            <v>unmanaus@gboex.com.br</v>
          </cell>
          <cell r="T316" t="str">
            <v>GBOEXMANAUS</v>
          </cell>
          <cell r="W316" t="str">
            <v>I</v>
          </cell>
        </row>
        <row r="317">
          <cell r="A317">
            <v>4900</v>
          </cell>
          <cell r="B317" t="str">
            <v>LOJA BELO HORIZONTE - MG</v>
          </cell>
          <cell r="C317">
            <v>11192</v>
          </cell>
          <cell r="D317" t="str">
            <v>RENATO SOUZA DO ESPIRITO SANTO LANGA</v>
          </cell>
          <cell r="E317">
            <v>3026</v>
          </cell>
          <cell r="F317" t="str">
            <v>MAYARA NOVAIS LOPES</v>
          </cell>
          <cell r="G317">
            <v>41449</v>
          </cell>
          <cell r="H317" t="str">
            <v xml:space="preserve">AV. AFONSO PENA 925 </v>
          </cell>
          <cell r="I317" t="str">
            <v xml:space="preserve">CENTRO </v>
          </cell>
          <cell r="J317" t="str">
            <v>30130-002</v>
          </cell>
          <cell r="K317">
            <v>660</v>
          </cell>
          <cell r="L317" t="str">
            <v>MG</v>
          </cell>
          <cell r="M317" t="str">
            <v>3132384200</v>
          </cell>
          <cell r="N317">
            <v>627</v>
          </cell>
          <cell r="O317" t="str">
            <v>3132384200</v>
          </cell>
          <cell r="P317" t="str">
            <v>jucilea.januario@factalojas.com.br</v>
          </cell>
          <cell r="Q317" t="str">
            <v>jucilea.januario@factalojas.com.br</v>
          </cell>
          <cell r="S317" t="str">
            <v>contato.mg@factalojas.com.br</v>
          </cell>
          <cell r="T317" t="str">
            <v>VENDASMG</v>
          </cell>
          <cell r="U317" t="str">
            <v/>
          </cell>
          <cell r="W317" t="str">
            <v>A</v>
          </cell>
        </row>
        <row r="318">
          <cell r="A318">
            <v>4901</v>
          </cell>
          <cell r="B318" t="str">
            <v>LOJA GBOEX - BH</v>
          </cell>
          <cell r="E318">
            <v>1384</v>
          </cell>
          <cell r="F318" t="str">
            <v>MILTON MORALES CINTRA E SILVA</v>
          </cell>
          <cell r="G318">
            <v>41449</v>
          </cell>
          <cell r="H318" t="str">
            <v>RUA GOITACAZES, 61</v>
          </cell>
          <cell r="I318" t="str">
            <v xml:space="preserve">CENTRO </v>
          </cell>
          <cell r="J318" t="str">
            <v>30190-050</v>
          </cell>
          <cell r="K318">
            <v>660</v>
          </cell>
          <cell r="L318" t="str">
            <v>MG</v>
          </cell>
          <cell r="M318" t="str">
            <v xml:space="preserve">3132246342 </v>
          </cell>
          <cell r="N318">
            <v>217</v>
          </cell>
          <cell r="O318" t="str">
            <v xml:space="preserve">3132246342 </v>
          </cell>
          <cell r="P318" t="str">
            <v>david.souza@facta.com.br</v>
          </cell>
          <cell r="Q318" t="str">
            <v/>
          </cell>
          <cell r="T318" t="str">
            <v>GBOEXTRES</v>
          </cell>
          <cell r="W318" t="str">
            <v>I</v>
          </cell>
        </row>
        <row r="319">
          <cell r="A319">
            <v>5916</v>
          </cell>
          <cell r="B319" t="str">
            <v>LOJA GBOEX SÃO PAULO</v>
          </cell>
          <cell r="E319">
            <v>2894</v>
          </cell>
          <cell r="F319" t="str">
            <v>CLEDIANO RIBEIRO KLIPPEL</v>
          </cell>
          <cell r="G319">
            <v>41449</v>
          </cell>
          <cell r="H319" t="str">
            <v>LARGO SÃO FRANCISCO , 34 - 6º ANDAR ED. CONDOR</v>
          </cell>
          <cell r="I319" t="str">
            <v>SUBDISTRITO SÉ</v>
          </cell>
          <cell r="J319" t="str">
            <v>01005-010</v>
          </cell>
          <cell r="K319">
            <v>442</v>
          </cell>
          <cell r="L319" t="str">
            <v>SP</v>
          </cell>
          <cell r="M319" t="str">
            <v xml:space="preserve">1131016116 </v>
          </cell>
          <cell r="N319">
            <v>212</v>
          </cell>
          <cell r="O319" t="str">
            <v xml:space="preserve">1131016116 </v>
          </cell>
          <cell r="P319" t="str">
            <v/>
          </cell>
          <cell r="T319" t="str">
            <v>GBOEXSAOPAULO</v>
          </cell>
          <cell r="U319" t="str">
            <v>inativado por cleber em 09/08/13</v>
          </cell>
          <cell r="W319" t="str">
            <v>I</v>
          </cell>
        </row>
        <row r="320">
          <cell r="A320">
            <v>7914</v>
          </cell>
          <cell r="B320" t="str">
            <v>LOJA GBOEX SALVADOR</v>
          </cell>
          <cell r="E320">
            <v>7068</v>
          </cell>
          <cell r="F320" t="str">
            <v>CLEBER ROBERTO BARBOSA DOS SANTOS</v>
          </cell>
          <cell r="G320">
            <v>41449</v>
          </cell>
          <cell r="H320" t="str">
            <v>AV. SETE DE SETEMBRO, 1474 LOJA 4</v>
          </cell>
          <cell r="I320" t="str">
            <v>CAMPO GRANDE</v>
          </cell>
          <cell r="J320" t="str">
            <v>40080-001</v>
          </cell>
          <cell r="K320">
            <v>1002</v>
          </cell>
          <cell r="L320" t="str">
            <v>BA</v>
          </cell>
          <cell r="M320" t="str">
            <v xml:space="preserve">7130259687 </v>
          </cell>
          <cell r="N320">
            <v>221</v>
          </cell>
          <cell r="O320" t="str">
            <v xml:space="preserve">7130259687 </v>
          </cell>
          <cell r="P320" t="str">
            <v>tatiane.lopes@facta.com.br</v>
          </cell>
          <cell r="Q320" t="str">
            <v>cleber@facta.com.br</v>
          </cell>
          <cell r="T320" t="str">
            <v>GBOEXSALVADOR</v>
          </cell>
          <cell r="W320" t="str">
            <v>I</v>
          </cell>
        </row>
        <row r="321">
          <cell r="A321">
            <v>12500</v>
          </cell>
          <cell r="B321" t="str">
            <v xml:space="preserve">LOJA CAMPO GRANDE/GBOEX </v>
          </cell>
          <cell r="E321">
            <v>0</v>
          </cell>
          <cell r="G321">
            <v>41449</v>
          </cell>
          <cell r="H321" t="str">
            <v>RUA MARECHAL RONDON, 1636 SALA 101 ED. KOSMOS</v>
          </cell>
          <cell r="I321" t="str">
            <v xml:space="preserve">CENTRO </v>
          </cell>
          <cell r="J321" t="str">
            <v>79002-915</v>
          </cell>
          <cell r="K321">
            <v>1167</v>
          </cell>
          <cell r="L321" t="str">
            <v>MS</v>
          </cell>
          <cell r="M321" t="str">
            <v xml:space="preserve">6730257434 </v>
          </cell>
          <cell r="N321">
            <v>218</v>
          </cell>
          <cell r="O321" t="str">
            <v xml:space="preserve">6730257434 </v>
          </cell>
          <cell r="P321" t="str">
            <v/>
          </cell>
          <cell r="T321" t="str">
            <v>GBOEXCAMPO</v>
          </cell>
          <cell r="W321" t="str">
            <v>I</v>
          </cell>
        </row>
        <row r="322">
          <cell r="A322">
            <v>7912</v>
          </cell>
          <cell r="B322" t="str">
            <v>LOJA BA - ERICA VIVIANE DOS SANTOS OLIVEIRA</v>
          </cell>
          <cell r="E322">
            <v>2751</v>
          </cell>
          <cell r="F322" t="str">
            <v>SIRLENE SANTOS DE SOUZA BARBOSA</v>
          </cell>
          <cell r="G322">
            <v>41444</v>
          </cell>
          <cell r="K322">
            <v>1002</v>
          </cell>
          <cell r="L322" t="str">
            <v>BA</v>
          </cell>
          <cell r="N322">
            <v>126</v>
          </cell>
          <cell r="T322" t="str">
            <v>7912</v>
          </cell>
          <cell r="U322" t="str">
            <v>inativado por Lorena em 30/07/13</v>
          </cell>
          <cell r="W322" t="str">
            <v>I</v>
          </cell>
        </row>
        <row r="323">
          <cell r="A323">
            <v>7913</v>
          </cell>
          <cell r="B323" t="str">
            <v>LOJA BA - VERONICA PEREIRA DE FREITAS</v>
          </cell>
          <cell r="E323">
            <v>2751</v>
          </cell>
          <cell r="F323" t="str">
            <v>SIRLENE SANTOS DE SOUZA BARBOSA</v>
          </cell>
          <cell r="G323">
            <v>41444</v>
          </cell>
          <cell r="K323">
            <v>1002</v>
          </cell>
          <cell r="L323" t="str">
            <v>BA</v>
          </cell>
          <cell r="N323">
            <v>126</v>
          </cell>
          <cell r="T323" t="str">
            <v>7913</v>
          </cell>
          <cell r="U323" t="str">
            <v>inativado por Lorena em 30/07/13</v>
          </cell>
          <cell r="W323" t="str">
            <v>I</v>
          </cell>
        </row>
        <row r="324">
          <cell r="A324">
            <v>14900</v>
          </cell>
          <cell r="B324" t="str">
            <v>LOJA NATAL - ALECRIM - RN</v>
          </cell>
          <cell r="C324">
            <v>9798</v>
          </cell>
          <cell r="D324" t="str">
            <v>WHANDERSON MATHEUS ARAUJO DA COSTA</v>
          </cell>
          <cell r="E324">
            <v>5452</v>
          </cell>
          <cell r="F324" t="str">
            <v>CRISTIANE CARVALHO GEBELATTO</v>
          </cell>
          <cell r="G324">
            <v>41438</v>
          </cell>
          <cell r="H324" t="str">
            <v>AV. PRESIDENTE BANDEIRA Nº 643</v>
          </cell>
          <cell r="I324" t="str">
            <v>ALECRIM</v>
          </cell>
          <cell r="J324" t="str">
            <v>59031-200</v>
          </cell>
          <cell r="K324">
            <v>1333</v>
          </cell>
          <cell r="L324" t="str">
            <v>RN</v>
          </cell>
          <cell r="M324" t="str">
            <v>8430269393</v>
          </cell>
          <cell r="N324">
            <v>281</v>
          </cell>
          <cell r="O324" t="str">
            <v>8430269393</v>
          </cell>
          <cell r="P324" t="str">
            <v>stephany.rabelo@factalojas.com.br;loja14900@factalojas.com.br</v>
          </cell>
          <cell r="Q324" t="str">
            <v>stephany.rabelo@factalojas.com.br</v>
          </cell>
          <cell r="S324" t="str">
            <v>loja14900@factalojas.com.br</v>
          </cell>
          <cell r="T324" t="str">
            <v>NATAL</v>
          </cell>
          <cell r="U324" t="str">
            <v>reativado por silvana em 23/09/13</v>
          </cell>
          <cell r="W324" t="str">
            <v>A</v>
          </cell>
        </row>
        <row r="325">
          <cell r="A325">
            <v>1491</v>
          </cell>
          <cell r="B325" t="str">
            <v>CALL CENTER PRODUTOS E SERVICOS 2</v>
          </cell>
          <cell r="C325">
            <v>11407</v>
          </cell>
          <cell r="D325" t="str">
            <v>ALISSON MONEGO PEREIRA</v>
          </cell>
          <cell r="E325">
            <v>15556</v>
          </cell>
          <cell r="F325" t="str">
            <v>FERNANDA APARECIDA TOMAZINI</v>
          </cell>
          <cell r="G325">
            <v>41410</v>
          </cell>
          <cell r="H325" t="str">
            <v xml:space="preserve">Rua Vigario Jose Inacio </v>
          </cell>
          <cell r="I325" t="str">
            <v xml:space="preserve">CENTRO </v>
          </cell>
          <cell r="J325" t="str">
            <v>90010-220</v>
          </cell>
          <cell r="K325">
            <v>35</v>
          </cell>
          <cell r="L325" t="str">
            <v>RS</v>
          </cell>
          <cell r="M325" t="str">
            <v>5130761818</v>
          </cell>
          <cell r="N325">
            <v>784</v>
          </cell>
          <cell r="O325" t="str">
            <v>5130761818</v>
          </cell>
          <cell r="P325" t="str">
            <v>everton.correa@factacall.com.br</v>
          </cell>
          <cell r="Q325" t="str">
            <v>teresinha.soares@factacall.com.br</v>
          </cell>
          <cell r="S325" t="str">
            <v>teresinha.soares@factacall.com.br</v>
          </cell>
          <cell r="T325" t="str">
            <v>1491</v>
          </cell>
          <cell r="U325" t="str">
            <v/>
          </cell>
          <cell r="W325" t="str">
            <v>A</v>
          </cell>
        </row>
        <row r="326">
          <cell r="A326">
            <v>1492</v>
          </cell>
          <cell r="B326" t="str">
            <v>CALL CENTER PRODUTOS E SERVICOS 3</v>
          </cell>
          <cell r="C326">
            <v>11407</v>
          </cell>
          <cell r="D326" t="str">
            <v>ALISSON MONEGO PEREIRA</v>
          </cell>
          <cell r="E326">
            <v>15556</v>
          </cell>
          <cell r="F326" t="str">
            <v>FERNANDA APARECIDA TOMAZINI</v>
          </cell>
          <cell r="G326">
            <v>41410</v>
          </cell>
          <cell r="H326" t="str">
            <v xml:space="preserve">AV BORGES DE MEDEIROS ,410 12ANDAR </v>
          </cell>
          <cell r="I326" t="str">
            <v>CENTRO</v>
          </cell>
          <cell r="J326" t="str">
            <v>90020-100</v>
          </cell>
          <cell r="K326">
            <v>35</v>
          </cell>
          <cell r="L326" t="str">
            <v>RS</v>
          </cell>
          <cell r="M326" t="str">
            <v>5130761818</v>
          </cell>
          <cell r="N326">
            <v>785</v>
          </cell>
          <cell r="O326" t="str">
            <v>5130761818</v>
          </cell>
          <cell r="P326" t="str">
            <v>teresinha.soares@facta.com.br</v>
          </cell>
          <cell r="Q326" t="str">
            <v>teresinha.soares@facta.com.br</v>
          </cell>
          <cell r="S326" t="str">
            <v>teresinha.soares@facta.com.br</v>
          </cell>
          <cell r="T326" t="str">
            <v>1492</v>
          </cell>
          <cell r="U326" t="str">
            <v/>
          </cell>
          <cell r="W326" t="str">
            <v>A</v>
          </cell>
        </row>
        <row r="327">
          <cell r="A327">
            <v>1489</v>
          </cell>
          <cell r="B327" t="str">
            <v>LOJA GBOEX - PELOTAS</v>
          </cell>
          <cell r="E327">
            <v>7068</v>
          </cell>
          <cell r="F327" t="str">
            <v>CLEBER ROBERTO BARBOSA DOS SANTOS</v>
          </cell>
          <cell r="G327">
            <v>41408</v>
          </cell>
          <cell r="H327" t="str">
            <v>RUA 15 DE NOVEMBRO, 666 LJ 95 GALERIA ZABALETA PEL</v>
          </cell>
          <cell r="I327" t="str">
            <v xml:space="preserve">CENTRO </v>
          </cell>
          <cell r="K327">
            <v>2</v>
          </cell>
          <cell r="L327" t="str">
            <v>RS</v>
          </cell>
          <cell r="M327" t="str">
            <v xml:space="preserve">5332723788 </v>
          </cell>
          <cell r="N327">
            <v>204</v>
          </cell>
          <cell r="O327" t="str">
            <v xml:space="preserve">5332723788 </v>
          </cell>
          <cell r="T327" t="str">
            <v>1489</v>
          </cell>
          <cell r="W327" t="str">
            <v>I</v>
          </cell>
        </row>
        <row r="328">
          <cell r="A328">
            <v>1490</v>
          </cell>
          <cell r="B328" t="str">
            <v>LOJA SAO LOURENCO - RS</v>
          </cell>
          <cell r="C328">
            <v>10656</v>
          </cell>
          <cell r="D328" t="str">
            <v>VIVIANE FAGUNDES DE MELLO</v>
          </cell>
          <cell r="E328">
            <v>763</v>
          </cell>
          <cell r="F328" t="str">
            <v>ADRIELE DA SILVA SOUZA</v>
          </cell>
          <cell r="G328">
            <v>41408</v>
          </cell>
          <cell r="H328" t="str">
            <v>Rua Pinheiro Machado nº 406</v>
          </cell>
          <cell r="I328" t="str">
            <v>Centro</v>
          </cell>
          <cell r="J328" t="str">
            <v>96170-000</v>
          </cell>
          <cell r="K328">
            <v>98</v>
          </cell>
          <cell r="L328" t="str">
            <v>RS</v>
          </cell>
          <cell r="M328" t="str">
            <v>5333025088</v>
          </cell>
          <cell r="N328">
            <v>205</v>
          </cell>
          <cell r="O328" t="str">
            <v>5333025088</v>
          </cell>
          <cell r="P328" t="str">
            <v>etiely.sirot@factalojas.com.br</v>
          </cell>
          <cell r="Q328" t="str">
            <v>viviane.mello@facta.com.br</v>
          </cell>
          <cell r="S328" t="str">
            <v>loja1490@facta.com.br</v>
          </cell>
          <cell r="T328" t="str">
            <v>1490</v>
          </cell>
          <cell r="U328" t="str">
            <v>ativado por tatiana em 12/06/13</v>
          </cell>
          <cell r="W328" t="str">
            <v>A</v>
          </cell>
        </row>
        <row r="329">
          <cell r="A329">
            <v>50976</v>
          </cell>
          <cell r="B329" t="str">
            <v>CALL CENTER SP - ADELINA JOSEFA DOS SANTOS</v>
          </cell>
          <cell r="E329">
            <v>0</v>
          </cell>
          <cell r="G329">
            <v>41407</v>
          </cell>
          <cell r="K329">
            <v>442</v>
          </cell>
          <cell r="L329" t="str">
            <v>SP</v>
          </cell>
          <cell r="N329">
            <v>628</v>
          </cell>
          <cell r="T329" t="str">
            <v>ADELINAJ</v>
          </cell>
          <cell r="U329" t="str">
            <v>inativado em 19/06/2013</v>
          </cell>
          <cell r="W329" t="str">
            <v>I</v>
          </cell>
        </row>
        <row r="330">
          <cell r="A330">
            <v>2802</v>
          </cell>
          <cell r="B330" t="str">
            <v>LOJA FLORIANOPOLIS - SC</v>
          </cell>
          <cell r="C330">
            <v>6096</v>
          </cell>
          <cell r="D330" t="str">
            <v>ANA PAULA PICOLLI</v>
          </cell>
          <cell r="E330">
            <v>763</v>
          </cell>
          <cell r="F330" t="str">
            <v>ADRIELE DA SILVA SOUZA</v>
          </cell>
          <cell r="G330">
            <v>41400</v>
          </cell>
          <cell r="H330" t="str">
            <v>RUA DEODORO, 226 - SALA 101, EDIFÍCIO MARCO POLO</v>
          </cell>
          <cell r="I330" t="str">
            <v>CENTRO</v>
          </cell>
          <cell r="J330" t="str">
            <v>88010-020</v>
          </cell>
          <cell r="K330">
            <v>160</v>
          </cell>
          <cell r="L330" t="str">
            <v>SC</v>
          </cell>
          <cell r="M330" t="str">
            <v>4833809404</v>
          </cell>
          <cell r="N330">
            <v>751</v>
          </cell>
          <cell r="O330" t="str">
            <v>4833809404</v>
          </cell>
          <cell r="P330" t="str">
            <v>gabriel.cacao@facta.com.br</v>
          </cell>
          <cell r="Q330" t="str">
            <v>rodrigo.santos@factalojas.com.br; loja2802@factalojas.com.br</v>
          </cell>
          <cell r="S330" t="str">
            <v>rodrigo.santos@factalojas.com.br; loja2802@factalojas.com.br</v>
          </cell>
          <cell r="T330" t="str">
            <v>2802</v>
          </cell>
          <cell r="U330" t="str">
            <v/>
          </cell>
          <cell r="W330" t="str">
            <v>A</v>
          </cell>
        </row>
        <row r="331">
          <cell r="A331">
            <v>1487</v>
          </cell>
          <cell r="B331" t="str">
            <v>LOJA CAMPO BOM - RS</v>
          </cell>
          <cell r="C331">
            <v>7835</v>
          </cell>
          <cell r="D331" t="str">
            <v>JOSIANE DE SOUZA MONTEIRO DOS SANTOS</v>
          </cell>
          <cell r="E331">
            <v>763</v>
          </cell>
          <cell r="F331" t="str">
            <v>ADRIELE DA SILVA SOUZA</v>
          </cell>
          <cell r="G331">
            <v>41389</v>
          </cell>
          <cell r="H331" t="str">
            <v>AV BRASIL 3054 SALA 3 A</v>
          </cell>
          <cell r="I331" t="str">
            <v>CENTRO</v>
          </cell>
          <cell r="J331" t="str">
            <v>93701-340</v>
          </cell>
          <cell r="K331">
            <v>78</v>
          </cell>
          <cell r="L331" t="str">
            <v>RS</v>
          </cell>
          <cell r="M331" t="str">
            <v>5130494906</v>
          </cell>
          <cell r="N331">
            <v>189</v>
          </cell>
          <cell r="O331" t="str">
            <v>5130494906</v>
          </cell>
          <cell r="P331" t="str">
            <v>leonara.santos@factalojas.com.br</v>
          </cell>
          <cell r="Q331" t="str">
            <v>leonara.santos@factalojas.com.br;loja1487@factalojas.com.br</v>
          </cell>
          <cell r="S331" t="str">
            <v>leonara.santos@factalojas.com.br;loja1487@factalojas.com.br</v>
          </cell>
          <cell r="T331" t="str">
            <v>CAMPOBOM2</v>
          </cell>
          <cell r="U331" t="str">
            <v/>
          </cell>
          <cell r="W331" t="str">
            <v>A</v>
          </cell>
        </row>
        <row r="332">
          <cell r="A332">
            <v>3813</v>
          </cell>
          <cell r="B332" t="str">
            <v>LOJA GBOEX- CURITIBA</v>
          </cell>
          <cell r="E332">
            <v>7068</v>
          </cell>
          <cell r="F332" t="str">
            <v>CLEBER ROBERTO BARBOSA DOS SANTOS</v>
          </cell>
          <cell r="G332">
            <v>41386</v>
          </cell>
          <cell r="H332" t="str">
            <v>RUA ALFREDO BUFREN, 285 LOJA1 BL A</v>
          </cell>
          <cell r="I332" t="str">
            <v>CENTRO</v>
          </cell>
          <cell r="J332" t="str">
            <v>80020240</v>
          </cell>
          <cell r="K332">
            <v>251</v>
          </cell>
          <cell r="L332" t="str">
            <v>PR</v>
          </cell>
          <cell r="M332" t="str">
            <v xml:space="preserve">4130243504 </v>
          </cell>
          <cell r="N332">
            <v>133</v>
          </cell>
          <cell r="O332" t="str">
            <v xml:space="preserve">4130243504 </v>
          </cell>
          <cell r="P332" t="str">
            <v xml:space="preserve">valdenice.kaminski@facta.com.br </v>
          </cell>
          <cell r="T332" t="str">
            <v>loja3813</v>
          </cell>
          <cell r="U332" t="str">
            <v/>
          </cell>
          <cell r="W332" t="str">
            <v>I</v>
          </cell>
        </row>
        <row r="333">
          <cell r="A333">
            <v>1485</v>
          </cell>
          <cell r="B333" t="str">
            <v>LOJA URUGUAIANA - RS</v>
          </cell>
          <cell r="C333">
            <v>9984</v>
          </cell>
          <cell r="D333" t="str">
            <v>FABIOLA DAL ROSSO</v>
          </cell>
          <cell r="E333">
            <v>763</v>
          </cell>
          <cell r="F333" t="str">
            <v>ADRIELE DA SILVA SOUZA</v>
          </cell>
          <cell r="G333">
            <v>41383</v>
          </cell>
          <cell r="H333" t="str">
            <v>SANTANA Nº 2800</v>
          </cell>
          <cell r="I333" t="str">
            <v>CENTRO</v>
          </cell>
          <cell r="J333" t="str">
            <v>97501-504</v>
          </cell>
          <cell r="K333">
            <v>13</v>
          </cell>
          <cell r="L333" t="str">
            <v>RS</v>
          </cell>
          <cell r="M333" t="str">
            <v>5531920215</v>
          </cell>
          <cell r="N333">
            <v>190</v>
          </cell>
          <cell r="O333" t="str">
            <v>5531920215</v>
          </cell>
          <cell r="P333" t="str">
            <v>elizangela.witt@factalojas.com.br</v>
          </cell>
          <cell r="Q333" t="str">
            <v>fabiola.rosso@facta.com.br</v>
          </cell>
          <cell r="S333" t="str">
            <v>fabiola.rosso@facta.com.br</v>
          </cell>
          <cell r="T333" t="str">
            <v>1485</v>
          </cell>
          <cell r="U333" t="str">
            <v/>
          </cell>
          <cell r="W333" t="str">
            <v>A</v>
          </cell>
        </row>
        <row r="334">
          <cell r="A334">
            <v>1486</v>
          </cell>
          <cell r="B334" t="str">
            <v>LOJA GBOEX - URUGUAIANA</v>
          </cell>
          <cell r="E334">
            <v>7068</v>
          </cell>
          <cell r="F334" t="str">
            <v>CLEBER ROBERTO BARBOSA DOS SANTOS</v>
          </cell>
          <cell r="G334">
            <v>41383</v>
          </cell>
          <cell r="H334" t="str">
            <v>RUA DOMINGOS DE ALMEIDA, 1809</v>
          </cell>
          <cell r="I334" t="str">
            <v>CENTRO</v>
          </cell>
          <cell r="J334" t="str">
            <v>97500002</v>
          </cell>
          <cell r="K334">
            <v>13</v>
          </cell>
          <cell r="L334" t="str">
            <v>RS</v>
          </cell>
          <cell r="M334" t="str">
            <v xml:space="preserve">5534122916 </v>
          </cell>
          <cell r="N334">
            <v>194</v>
          </cell>
          <cell r="O334" t="str">
            <v xml:space="preserve">5534122916 </v>
          </cell>
          <cell r="T334" t="str">
            <v>1486</v>
          </cell>
          <cell r="U334" t="str">
            <v>cod criado em duplicidade</v>
          </cell>
          <cell r="W334" t="str">
            <v>I</v>
          </cell>
        </row>
        <row r="335">
          <cell r="A335">
            <v>1484</v>
          </cell>
          <cell r="B335" t="str">
            <v xml:space="preserve">LOJA BAGÉ/GBOEX </v>
          </cell>
          <cell r="E335">
            <v>7068</v>
          </cell>
          <cell r="F335" t="str">
            <v>CLEBER ROBERTO BARBOSA DOS SANTOS</v>
          </cell>
          <cell r="G335">
            <v>41381</v>
          </cell>
          <cell r="H335" t="str">
            <v>RUA GENERAL OSÓRIO, 890</v>
          </cell>
          <cell r="I335" t="str">
            <v>CENTRO</v>
          </cell>
          <cell r="J335" t="str">
            <v>96400-100</v>
          </cell>
          <cell r="K335">
            <v>357</v>
          </cell>
          <cell r="L335" t="str">
            <v>RS</v>
          </cell>
          <cell r="M335" t="str">
            <v xml:space="preserve">5332424001 </v>
          </cell>
          <cell r="N335">
            <v>191</v>
          </cell>
          <cell r="O335" t="str">
            <v xml:space="preserve">5332424001 </v>
          </cell>
          <cell r="P335" t="str">
            <v>0</v>
          </cell>
          <cell r="Q335" t="str">
            <v>0</v>
          </cell>
          <cell r="T335" t="str">
            <v>1484</v>
          </cell>
          <cell r="W335" t="str">
            <v>I</v>
          </cell>
        </row>
        <row r="336">
          <cell r="A336">
            <v>90900</v>
          </cell>
          <cell r="B336" t="str">
            <v>LOJA FORTALEZA - CE</v>
          </cell>
          <cell r="C336">
            <v>9823</v>
          </cell>
          <cell r="D336" t="str">
            <v>BRENO ROCHA HONORATO DA SILVA</v>
          </cell>
          <cell r="E336">
            <v>5452</v>
          </cell>
          <cell r="F336" t="str">
            <v>CRISTIANE CARVALHO GEBELATTO</v>
          </cell>
          <cell r="G336">
            <v>41381</v>
          </cell>
          <cell r="H336" t="str">
            <v>RUA FLORIANO PEIXOTO,797</v>
          </cell>
          <cell r="I336" t="str">
            <v>CENTRO</v>
          </cell>
          <cell r="J336" t="str">
            <v>60025-130</v>
          </cell>
          <cell r="K336">
            <v>494</v>
          </cell>
          <cell r="L336" t="str">
            <v>CE</v>
          </cell>
          <cell r="M336" t="str">
            <v>8530348300</v>
          </cell>
          <cell r="N336">
            <v>186</v>
          </cell>
          <cell r="O336" t="str">
            <v>8530348300</v>
          </cell>
          <cell r="P336" t="str">
            <v>cibelle.almeida@factalojas.com.br</v>
          </cell>
          <cell r="Q336" t="str">
            <v>Breno.silva@facta.com.br</v>
          </cell>
          <cell r="S336" t="str">
            <v>loja90900@factalojas.com.br</v>
          </cell>
          <cell r="T336" t="str">
            <v>vendasce</v>
          </cell>
          <cell r="U336" t="str">
            <v xml:space="preserve">_x000D_
</v>
          </cell>
          <cell r="W336" t="str">
            <v>A</v>
          </cell>
        </row>
        <row r="337">
          <cell r="A337">
            <v>1449</v>
          </cell>
          <cell r="B337" t="str">
            <v>LOJA SANTA MARIA - RS</v>
          </cell>
          <cell r="C337">
            <v>5428</v>
          </cell>
          <cell r="D337" t="str">
            <v>DANIELA DO CARMO CAMPARA</v>
          </cell>
          <cell r="E337">
            <v>763</v>
          </cell>
          <cell r="F337" t="str">
            <v>ADRIELE DA SILVA SOUZA</v>
          </cell>
          <cell r="G337">
            <v>41367</v>
          </cell>
          <cell r="H337" t="str">
            <v>RUA VENANCIO AIRES, Nº 1745 -LOJA B</v>
          </cell>
          <cell r="I337" t="str">
            <v>CENTRO</v>
          </cell>
          <cell r="J337" t="str">
            <v>97010-003</v>
          </cell>
          <cell r="K337">
            <v>23</v>
          </cell>
          <cell r="L337" t="str">
            <v>RS</v>
          </cell>
          <cell r="M337" t="str">
            <v>5533024351</v>
          </cell>
          <cell r="N337">
            <v>621</v>
          </cell>
          <cell r="O337" t="str">
            <v>5533024351</v>
          </cell>
          <cell r="P337" t="str">
            <v>debora.frohnhofer@factalojas.com.br</v>
          </cell>
          <cell r="Q337" t="str">
            <v>debora.frohnhofer@factalojas.com.br</v>
          </cell>
          <cell r="S337" t="str">
            <v>debora.frohnhofer@factalojas.com.br</v>
          </cell>
          <cell r="T337" t="str">
            <v>1449</v>
          </cell>
          <cell r="U337" t="str">
            <v/>
          </cell>
          <cell r="W337" t="str">
            <v>A</v>
          </cell>
        </row>
        <row r="338">
          <cell r="A338">
            <v>8213</v>
          </cell>
          <cell r="B338" t="str">
            <v>LOJA PE- MONIQUE ALVES E MEDEIROS</v>
          </cell>
          <cell r="E338">
            <v>1513</v>
          </cell>
          <cell r="F338" t="str">
            <v>ALECSANDRA CHAVES BALBINO</v>
          </cell>
          <cell r="G338">
            <v>41352</v>
          </cell>
          <cell r="K338">
            <v>617</v>
          </cell>
          <cell r="L338" t="str">
            <v>PE</v>
          </cell>
          <cell r="N338">
            <v>75</v>
          </cell>
          <cell r="P338" t="str">
            <v>monique.medeiros@facta.com.br</v>
          </cell>
          <cell r="Q338" t="str">
            <v>Silvana@facta.com.br</v>
          </cell>
          <cell r="T338" t="str">
            <v>lojamonique</v>
          </cell>
          <cell r="U338" t="str">
            <v>inat a pedido de Silvana 25/07/13</v>
          </cell>
          <cell r="W338" t="str">
            <v>I</v>
          </cell>
        </row>
        <row r="339">
          <cell r="A339">
            <v>7909</v>
          </cell>
          <cell r="B339" t="str">
            <v>LOJA BA- DAVI MARINHO</v>
          </cell>
          <cell r="G339">
            <v>41346</v>
          </cell>
          <cell r="K339">
            <v>1002</v>
          </cell>
          <cell r="L339" t="str">
            <v>BA</v>
          </cell>
          <cell r="N339">
            <v>126</v>
          </cell>
          <cell r="T339" t="str">
            <v>davim</v>
          </cell>
          <cell r="U339" t="str">
            <v>inativado por Lorena em 30/07/13</v>
          </cell>
          <cell r="W339" t="str">
            <v>I</v>
          </cell>
        </row>
        <row r="340">
          <cell r="A340">
            <v>7907</v>
          </cell>
          <cell r="B340" t="str">
            <v>LOJA BA - MARIA DO CARMO LOPES ALMEIDA</v>
          </cell>
          <cell r="E340">
            <v>1933</v>
          </cell>
          <cell r="F340" t="str">
            <v>LORENA PALUMBO GAVAZZA</v>
          </cell>
          <cell r="G340">
            <v>41344</v>
          </cell>
          <cell r="K340">
            <v>1002</v>
          </cell>
          <cell r="L340" t="str">
            <v>BA</v>
          </cell>
          <cell r="N340">
            <v>0</v>
          </cell>
          <cell r="T340" t="str">
            <v>7907</v>
          </cell>
          <cell r="U340" t="str">
            <v>inativado lorena 20.03.2013</v>
          </cell>
          <cell r="W340" t="str">
            <v>I</v>
          </cell>
        </row>
        <row r="341">
          <cell r="A341">
            <v>7908</v>
          </cell>
          <cell r="B341" t="str">
            <v>LOJA BA- JULIANA LUIZA SICOPIRA PESTANA</v>
          </cell>
          <cell r="E341">
            <v>2751</v>
          </cell>
          <cell r="F341" t="str">
            <v>SIRLENE SANTOS DE SOUZA BARBOSA</v>
          </cell>
          <cell r="G341">
            <v>41344</v>
          </cell>
          <cell r="K341">
            <v>1002</v>
          </cell>
          <cell r="L341" t="str">
            <v>BA</v>
          </cell>
          <cell r="N341">
            <v>126</v>
          </cell>
          <cell r="T341" t="str">
            <v>7908</v>
          </cell>
          <cell r="U341" t="str">
            <v>inativado por Lorena em 30/07/13</v>
          </cell>
          <cell r="W341" t="str">
            <v>I</v>
          </cell>
        </row>
        <row r="342">
          <cell r="A342">
            <v>7906</v>
          </cell>
          <cell r="B342" t="str">
            <v xml:space="preserve">LOJA BA- ALANE GOMES DA COSTA DE OLIVEIRA </v>
          </cell>
          <cell r="E342">
            <v>2751</v>
          </cell>
          <cell r="F342" t="str">
            <v>SIRLENE SANTOS DE SOUZA BARBOSA</v>
          </cell>
          <cell r="G342">
            <v>41338</v>
          </cell>
          <cell r="K342">
            <v>1002</v>
          </cell>
          <cell r="L342" t="str">
            <v>BA</v>
          </cell>
          <cell r="N342">
            <v>126</v>
          </cell>
          <cell r="T342" t="str">
            <v>7906</v>
          </cell>
          <cell r="U342" t="str">
            <v>inativado por Lorena em 30/07/13</v>
          </cell>
          <cell r="W342" t="str">
            <v>I</v>
          </cell>
        </row>
        <row r="343">
          <cell r="A343">
            <v>1483</v>
          </cell>
          <cell r="B343" t="str">
            <v>BANCO DO BRASIL- IGREJINHA</v>
          </cell>
          <cell r="C343">
            <v>0</v>
          </cell>
          <cell r="E343">
            <v>332</v>
          </cell>
          <cell r="F343" t="str">
            <v>ANGELICA GELINGER</v>
          </cell>
          <cell r="G343">
            <v>41333</v>
          </cell>
          <cell r="H343" t="str">
            <v xml:space="preserve">AVENIDA PRESIDENTE CASTELO BRANCO N°520 </v>
          </cell>
          <cell r="I343" t="str">
            <v>CENTRO</v>
          </cell>
          <cell r="J343" t="str">
            <v>95550-000</v>
          </cell>
          <cell r="K343">
            <v>120</v>
          </cell>
          <cell r="L343" t="str">
            <v>RS</v>
          </cell>
          <cell r="M343" t="str">
            <v>35451046</v>
          </cell>
          <cell r="N343">
            <v>171</v>
          </cell>
          <cell r="O343" t="str">
            <v>35451046</v>
          </cell>
          <cell r="P343" t="str">
            <v>monitoria.desempenho@facta.com.br</v>
          </cell>
          <cell r="Q343" t="str">
            <v>monitoria.desempenho@facta.com.br</v>
          </cell>
          <cell r="T343" t="str">
            <v>bb1483</v>
          </cell>
          <cell r="U343" t="str">
            <v xml:space="preserve"> inativado por cleber em 27.05.13</v>
          </cell>
          <cell r="W343" t="str">
            <v>I</v>
          </cell>
        </row>
        <row r="344">
          <cell r="A344">
            <v>1482</v>
          </cell>
          <cell r="B344" t="str">
            <v>BANCO DO BRASIL-CAPAO DA CANOA</v>
          </cell>
          <cell r="C344">
            <v>0</v>
          </cell>
          <cell r="E344">
            <v>332</v>
          </cell>
          <cell r="F344" t="str">
            <v>ANGELICA GELINGER</v>
          </cell>
          <cell r="G344">
            <v>41320</v>
          </cell>
          <cell r="K344">
            <v>61</v>
          </cell>
          <cell r="L344" t="str">
            <v>RS</v>
          </cell>
          <cell r="M344" t="str">
            <v>00000</v>
          </cell>
          <cell r="N344">
            <v>170</v>
          </cell>
          <cell r="O344" t="str">
            <v>00000</v>
          </cell>
          <cell r="P344" t="str">
            <v>monitoria.desempenho@facta.com.br</v>
          </cell>
          <cell r="Q344" t="str">
            <v>monitoria.desempenho@facta.com.br</v>
          </cell>
          <cell r="T344" t="str">
            <v>1482</v>
          </cell>
          <cell r="U344" t="str">
            <v>solicitado por Angelica 15/02/2013     inativado por cleber em 27.05.13</v>
          </cell>
          <cell r="W344" t="str">
            <v>I</v>
          </cell>
        </row>
        <row r="345">
          <cell r="A345">
            <v>1481</v>
          </cell>
          <cell r="B345" t="str">
            <v>BANCO DO BRASIL-ELDORADO DO SUL</v>
          </cell>
          <cell r="E345">
            <v>7068</v>
          </cell>
          <cell r="F345" t="str">
            <v>CLEBER ROBERTO BARBOSA DOS SANTOS</v>
          </cell>
          <cell r="G345">
            <v>41311</v>
          </cell>
          <cell r="K345">
            <v>50</v>
          </cell>
          <cell r="L345" t="str">
            <v>RS</v>
          </cell>
          <cell r="M345" t="str">
            <v>00000</v>
          </cell>
          <cell r="N345">
            <v>173</v>
          </cell>
          <cell r="O345" t="str">
            <v>00000</v>
          </cell>
          <cell r="P345" t="str">
            <v>monitoria.desempenho@facta.com.br</v>
          </cell>
          <cell r="Q345" t="str">
            <v>monitoria.desempenho@facta.com.br</v>
          </cell>
          <cell r="T345" t="str">
            <v>1481</v>
          </cell>
          <cell r="U345" t="str">
            <v>solicitado por cleber06/02/2013 Inativado por soli</v>
          </cell>
          <cell r="W345" t="str">
            <v>I</v>
          </cell>
        </row>
        <row r="346">
          <cell r="A346">
            <v>1480</v>
          </cell>
          <cell r="B346" t="str">
            <v>BANCO DO BRASIL - PAROBÉ</v>
          </cell>
          <cell r="C346">
            <v>0</v>
          </cell>
          <cell r="E346">
            <v>2141</v>
          </cell>
          <cell r="F346" t="str">
            <v>ALINE VILELLA</v>
          </cell>
          <cell r="G346">
            <v>41291</v>
          </cell>
          <cell r="K346">
            <v>184</v>
          </cell>
          <cell r="L346" t="str">
            <v>RS</v>
          </cell>
          <cell r="M346" t="str">
            <v>00000</v>
          </cell>
          <cell r="N346">
            <v>167</v>
          </cell>
          <cell r="O346" t="str">
            <v>00000</v>
          </cell>
          <cell r="P346" t="str">
            <v>monitoria.desempenho@facta.com.br</v>
          </cell>
          <cell r="Q346" t="str">
            <v>monitoria.desempenho@facta.com.br</v>
          </cell>
          <cell r="T346" t="str">
            <v>1480</v>
          </cell>
          <cell r="U346" t="str">
            <v>Solicitado por Aline 17/01/13.   inativado por cleber em 27.05.13</v>
          </cell>
          <cell r="W346" t="str">
            <v>I</v>
          </cell>
        </row>
        <row r="347">
          <cell r="A347">
            <v>1479</v>
          </cell>
          <cell r="B347" t="str">
            <v>BANCO DO BRASIL - PORTAO</v>
          </cell>
          <cell r="C347">
            <v>0</v>
          </cell>
          <cell r="E347">
            <v>2141</v>
          </cell>
          <cell r="F347" t="str">
            <v>ALINE VILELLA</v>
          </cell>
          <cell r="G347">
            <v>41288</v>
          </cell>
          <cell r="K347">
            <v>6948880</v>
          </cell>
          <cell r="L347" t="str">
            <v>RS</v>
          </cell>
          <cell r="M347" t="str">
            <v>00000</v>
          </cell>
          <cell r="N347">
            <v>166</v>
          </cell>
          <cell r="O347" t="str">
            <v>00000</v>
          </cell>
          <cell r="P347" t="str">
            <v>monitoria.desempenho@facta.com.br</v>
          </cell>
          <cell r="Q347" t="str">
            <v>monitoria.desempenho@facta.com.br</v>
          </cell>
          <cell r="T347" t="str">
            <v>1479</v>
          </cell>
          <cell r="U347" t="str">
            <v>Solicitado por Aline 14/01/13.    inativado por cleber em 27.05.13</v>
          </cell>
          <cell r="W347" t="str">
            <v>I</v>
          </cell>
        </row>
        <row r="348">
          <cell r="A348">
            <v>1478</v>
          </cell>
          <cell r="B348" t="str">
            <v>LOJA PELOTAS - RS</v>
          </cell>
          <cell r="C348">
            <v>10656</v>
          </cell>
          <cell r="D348" t="str">
            <v>VIVIANE FAGUNDES DE MELLO</v>
          </cell>
          <cell r="E348">
            <v>763</v>
          </cell>
          <cell r="F348" t="str">
            <v>ADRIELE DA SILVA SOUZA</v>
          </cell>
          <cell r="G348">
            <v>41262</v>
          </cell>
          <cell r="H348" t="str">
            <v xml:space="preserve">RUA SETE DE SETEMBRO, 240 </v>
          </cell>
          <cell r="I348" t="str">
            <v>CENTRO</v>
          </cell>
          <cell r="J348" t="str">
            <v>96015-300</v>
          </cell>
          <cell r="K348">
            <v>2</v>
          </cell>
          <cell r="L348" t="str">
            <v>RS</v>
          </cell>
          <cell r="M348" t="str">
            <v>5330274555</v>
          </cell>
          <cell r="N348">
            <v>39</v>
          </cell>
          <cell r="O348" t="str">
            <v>5330274555</v>
          </cell>
          <cell r="P348" t="str">
            <v>nayane.borges@facta.com.br</v>
          </cell>
          <cell r="Q348" t="str">
            <v>loja1478@factalojas.com.br</v>
          </cell>
          <cell r="S348" t="str">
            <v>loja1478@factalojas.com.br</v>
          </cell>
          <cell r="T348" t="str">
            <v>1478</v>
          </cell>
          <cell r="U348" t="str">
            <v/>
          </cell>
          <cell r="W348" t="str">
            <v>A</v>
          </cell>
        </row>
        <row r="349">
          <cell r="A349">
            <v>8212</v>
          </cell>
          <cell r="B349" t="str">
            <v>LOJA PE - REBECCA MUNIZ MOURA DOS SANTOS</v>
          </cell>
          <cell r="E349">
            <v>95</v>
          </cell>
          <cell r="F349" t="str">
            <v>SILVANA DE FATIMA CENCI</v>
          </cell>
          <cell r="G349">
            <v>41260</v>
          </cell>
          <cell r="K349">
            <v>617</v>
          </cell>
          <cell r="L349" t="str">
            <v>PE</v>
          </cell>
          <cell r="N349">
            <v>75</v>
          </cell>
          <cell r="P349" t="str">
            <v>alecsandra.balbino@factaemprestimos.com.br</v>
          </cell>
          <cell r="Q349" t="str">
            <v>silvana@factaemprestimos.com.br</v>
          </cell>
          <cell r="T349" t="str">
            <v>RECECCA</v>
          </cell>
          <cell r="U349" t="str">
            <v xml:space="preserve">inativado 05/02/2013 a pedido de Silvana </v>
          </cell>
          <cell r="W349" t="str">
            <v>I</v>
          </cell>
        </row>
        <row r="350">
          <cell r="A350">
            <v>1477</v>
          </cell>
          <cell r="B350" t="str">
            <v>BANCO DO BRASIL-URUGUAI</v>
          </cell>
          <cell r="E350">
            <v>2590</v>
          </cell>
          <cell r="F350" t="str">
            <v>VIVIANE GUEDES PACHECO</v>
          </cell>
          <cell r="G350">
            <v>41257</v>
          </cell>
          <cell r="K350">
            <v>35</v>
          </cell>
          <cell r="L350" t="str">
            <v>RS</v>
          </cell>
          <cell r="M350" t="str">
            <v>000</v>
          </cell>
          <cell r="N350">
            <v>160</v>
          </cell>
          <cell r="O350" t="str">
            <v>000</v>
          </cell>
          <cell r="P350" t="str">
            <v>loja1477@factaemprestimos.com.br</v>
          </cell>
          <cell r="Q350" t="str">
            <v>monitoria.desempenho@facta.com.br</v>
          </cell>
          <cell r="T350" t="str">
            <v>1477</v>
          </cell>
          <cell r="U350" t="str">
            <v xml:space="preserve"> inativado por cleber em 27.05.13</v>
          </cell>
          <cell r="W350" t="str">
            <v>I</v>
          </cell>
        </row>
        <row r="351">
          <cell r="A351">
            <v>1476</v>
          </cell>
          <cell r="B351" t="str">
            <v>LOJA NOVO HAMBURGO - RS</v>
          </cell>
          <cell r="C351">
            <v>3802</v>
          </cell>
          <cell r="D351" t="str">
            <v>THAMIRES IZIDORO DO NASCIMENTO SILVA</v>
          </cell>
          <cell r="E351">
            <v>763</v>
          </cell>
          <cell r="F351" t="str">
            <v>ADRIELE DA SILVA SOUZA</v>
          </cell>
          <cell r="G351">
            <v>41256</v>
          </cell>
          <cell r="H351" t="str">
            <v>AV CALCADAO OSVALDO CRUZ, 127</v>
          </cell>
          <cell r="I351" t="str">
            <v>CENTRO</v>
          </cell>
          <cell r="J351" t="str">
            <v>93510-015</v>
          </cell>
          <cell r="K351">
            <v>21</v>
          </cell>
          <cell r="L351" t="str">
            <v>RS</v>
          </cell>
          <cell r="M351" t="str">
            <v>5130660101</v>
          </cell>
          <cell r="N351">
            <v>163</v>
          </cell>
          <cell r="O351" t="str">
            <v>5130660101</v>
          </cell>
          <cell r="P351" t="str">
            <v>hiagson.santos@factalojas.com.br</v>
          </cell>
          <cell r="Q351" t="str">
            <v>loja1476@factalojas.com.br;thamires.nascimento@facta.com.br</v>
          </cell>
          <cell r="S351" t="str">
            <v>loja1476@factalojas.com.br;thamires.nascimento@facta.com.br</v>
          </cell>
          <cell r="T351" t="str">
            <v>1476</v>
          </cell>
          <cell r="U351" t="str">
            <v>DADOS BANC CAD EM  31.1.13 A POR  ALINE VILELA</v>
          </cell>
          <cell r="W351" t="str">
            <v>A</v>
          </cell>
        </row>
        <row r="352">
          <cell r="A352">
            <v>1473</v>
          </cell>
          <cell r="B352" t="str">
            <v>BANCO DO BRASIL-CACHOERINHA DISTRITO INDUSTRIAL</v>
          </cell>
          <cell r="E352">
            <v>7068</v>
          </cell>
          <cell r="F352" t="str">
            <v>CLEBER ROBERTO BARBOSA DOS SANTOS</v>
          </cell>
          <cell r="G352">
            <v>41255</v>
          </cell>
          <cell r="H352" t="str">
            <v>AV DAS INDUSTRIAS, 750 (3535-1)</v>
          </cell>
          <cell r="I352" t="str">
            <v>DIST. INDUSTRIAL</v>
          </cell>
          <cell r="J352" t="str">
            <v>94930-230</v>
          </cell>
          <cell r="K352">
            <v>33</v>
          </cell>
          <cell r="L352" t="str">
            <v>RS</v>
          </cell>
          <cell r="M352" t="str">
            <v xml:space="preserve">5134385554 </v>
          </cell>
          <cell r="N352">
            <v>0</v>
          </cell>
          <cell r="O352" t="str">
            <v xml:space="preserve">5134385554 </v>
          </cell>
          <cell r="P352" t="str">
            <v>monitoria.desempenho@facta.com.br</v>
          </cell>
          <cell r="Q352" t="str">
            <v>monitoria.desempenho@facta.com.br</v>
          </cell>
          <cell r="T352" t="str">
            <v>1473</v>
          </cell>
          <cell r="U352" t="str">
            <v>solicitado por Tatiane 12/12/12.</v>
          </cell>
          <cell r="W352" t="str">
            <v>I</v>
          </cell>
        </row>
        <row r="353">
          <cell r="A353">
            <v>1474</v>
          </cell>
          <cell r="B353" t="str">
            <v>BANCO DO BRASIL-BUTIA</v>
          </cell>
          <cell r="E353">
            <v>7068</v>
          </cell>
          <cell r="F353" t="str">
            <v>CLEBER ROBERTO BARBOSA DOS SANTOS</v>
          </cell>
          <cell r="G353">
            <v>41255</v>
          </cell>
          <cell r="K353">
            <v>81</v>
          </cell>
          <cell r="L353" t="str">
            <v>RS</v>
          </cell>
          <cell r="M353" t="str">
            <v>0000</v>
          </cell>
          <cell r="N353">
            <v>15</v>
          </cell>
          <cell r="O353" t="str">
            <v>0000</v>
          </cell>
          <cell r="P353" t="str">
            <v>monitoria.desempenho@facta.com.br</v>
          </cell>
          <cell r="Q353" t="str">
            <v>monitoria.desempenho@facta.com.br</v>
          </cell>
          <cell r="S353" t="str">
            <v/>
          </cell>
          <cell r="T353" t="str">
            <v>1474</v>
          </cell>
          <cell r="U353" t="str">
            <v>INATIVADO POR TATIANA 15.03.2013</v>
          </cell>
          <cell r="W353" t="str">
            <v>I</v>
          </cell>
        </row>
        <row r="354">
          <cell r="A354">
            <v>1475</v>
          </cell>
          <cell r="B354" t="str">
            <v>BANCO DO BRASIL-PORTO ALEGRE-MENINO DEUS</v>
          </cell>
          <cell r="C354">
            <v>0</v>
          </cell>
          <cell r="E354">
            <v>2590</v>
          </cell>
          <cell r="F354" t="str">
            <v>VIVIANE GUEDES PACHECO</v>
          </cell>
          <cell r="G354">
            <v>41255</v>
          </cell>
          <cell r="K354">
            <v>35</v>
          </cell>
          <cell r="L354" t="str">
            <v>RS</v>
          </cell>
          <cell r="M354" t="str">
            <v>000000</v>
          </cell>
          <cell r="N354">
            <v>161</v>
          </cell>
          <cell r="O354" t="str">
            <v>000000</v>
          </cell>
          <cell r="P354" t="str">
            <v>monitoria.desempenho@facta.com.br</v>
          </cell>
          <cell r="Q354" t="str">
            <v>monitoria.desempenho@facta.com.br</v>
          </cell>
          <cell r="T354" t="str">
            <v>1475</v>
          </cell>
          <cell r="U354" t="str">
            <v xml:space="preserve"> inativado por cleber em 27.05.13</v>
          </cell>
          <cell r="W354" t="str">
            <v>I</v>
          </cell>
        </row>
        <row r="355">
          <cell r="A355">
            <v>1463</v>
          </cell>
          <cell r="B355" t="str">
            <v>CEF - PAULISTA - AV PAULISTA</v>
          </cell>
          <cell r="E355">
            <v>1330</v>
          </cell>
          <cell r="F355" t="str">
            <v>KARINA DE SOUZA SILVA</v>
          </cell>
          <cell r="G355">
            <v>41246</v>
          </cell>
          <cell r="H355" t="str">
            <v>AV. PAULISTA 1842 TORRE SUL</v>
          </cell>
          <cell r="I355" t="str">
            <v>CERQUEIRA CESA</v>
          </cell>
          <cell r="J355" t="str">
            <v>01310-941</v>
          </cell>
          <cell r="K355">
            <v>442</v>
          </cell>
          <cell r="L355" t="str">
            <v>SP</v>
          </cell>
          <cell r="M355" t="str">
            <v>000</v>
          </cell>
          <cell r="N355">
            <v>0</v>
          </cell>
          <cell r="O355" t="str">
            <v>000</v>
          </cell>
          <cell r="P355" t="str">
            <v>0</v>
          </cell>
          <cell r="Q355" t="str">
            <v>0</v>
          </cell>
          <cell r="T355" t="str">
            <v>CEF1</v>
          </cell>
          <cell r="U355" t="str">
            <v xml:space="preserve"> inativado por cleber em 27.05.13</v>
          </cell>
          <cell r="W355" t="str">
            <v>I</v>
          </cell>
        </row>
        <row r="356">
          <cell r="A356">
            <v>1464</v>
          </cell>
          <cell r="B356" t="str">
            <v>CEF - PAULISTA - JARDIM PAULISTA</v>
          </cell>
          <cell r="E356">
            <v>1330</v>
          </cell>
          <cell r="F356" t="str">
            <v>KARINA DE SOUZA SILVA</v>
          </cell>
          <cell r="G356">
            <v>41246</v>
          </cell>
          <cell r="H356" t="str">
            <v>RUA ESTADOS UNIDOS, 476</v>
          </cell>
          <cell r="I356" t="str">
            <v>JD AMERICA</v>
          </cell>
          <cell r="J356" t="str">
            <v>01427-000</v>
          </cell>
          <cell r="K356">
            <v>442</v>
          </cell>
          <cell r="L356" t="str">
            <v>SP</v>
          </cell>
          <cell r="M356" t="str">
            <v>000</v>
          </cell>
          <cell r="N356">
            <v>0</v>
          </cell>
          <cell r="O356" t="str">
            <v>000</v>
          </cell>
          <cell r="P356" t="str">
            <v>0</v>
          </cell>
          <cell r="Q356" t="str">
            <v>00</v>
          </cell>
          <cell r="T356" t="str">
            <v>CEF2</v>
          </cell>
          <cell r="U356" t="str">
            <v xml:space="preserve"> inativado por cleber em 27.05.13</v>
          </cell>
          <cell r="W356" t="str">
            <v>I</v>
          </cell>
        </row>
        <row r="357">
          <cell r="A357">
            <v>1465</v>
          </cell>
          <cell r="B357" t="str">
            <v>CEF - STO AMARO - INTERLAGOS</v>
          </cell>
          <cell r="E357">
            <v>1330</v>
          </cell>
          <cell r="F357" t="str">
            <v>KARINA DE SOUZA SILVA</v>
          </cell>
          <cell r="G357">
            <v>41246</v>
          </cell>
          <cell r="H357" t="str">
            <v>AV. INTERLAGOS, 3610</v>
          </cell>
          <cell r="I357" t="str">
            <v>JD CAMPO GRANDE</v>
          </cell>
          <cell r="J357" t="str">
            <v>04660-006</v>
          </cell>
          <cell r="K357">
            <v>442</v>
          </cell>
          <cell r="L357" t="str">
            <v>SP</v>
          </cell>
          <cell r="M357" t="str">
            <v>00</v>
          </cell>
          <cell r="N357">
            <v>0</v>
          </cell>
          <cell r="O357" t="str">
            <v>00</v>
          </cell>
          <cell r="P357" t="str">
            <v>0</v>
          </cell>
          <cell r="Q357" t="str">
            <v>0</v>
          </cell>
          <cell r="T357" t="str">
            <v>CEF3</v>
          </cell>
          <cell r="U357" t="str">
            <v xml:space="preserve"> inativado por cleber em 27.05.13</v>
          </cell>
          <cell r="W357" t="str">
            <v>I</v>
          </cell>
        </row>
        <row r="358">
          <cell r="A358">
            <v>1466</v>
          </cell>
          <cell r="B358" t="str">
            <v>CEF - STO AMARNO - PIRAJUSSARA</v>
          </cell>
          <cell r="E358">
            <v>1330</v>
          </cell>
          <cell r="F358" t="str">
            <v>KARINA DE SOUZA SILVA</v>
          </cell>
          <cell r="G358">
            <v>41246</v>
          </cell>
          <cell r="H358" t="str">
            <v>EST. KIZAEMON TAKEUTI, 2637</v>
          </cell>
          <cell r="I358" t="str">
            <v>PQ SAO JOAQUIM</v>
          </cell>
          <cell r="J358" t="str">
            <v>06775-003</v>
          </cell>
          <cell r="K358">
            <v>25281</v>
          </cell>
          <cell r="L358" t="str">
            <v>SP</v>
          </cell>
          <cell r="M358" t="str">
            <v>000</v>
          </cell>
          <cell r="N358">
            <v>0</v>
          </cell>
          <cell r="O358" t="str">
            <v>000</v>
          </cell>
          <cell r="P358" t="str">
            <v>0</v>
          </cell>
          <cell r="Q358" t="str">
            <v>0</v>
          </cell>
          <cell r="T358" t="str">
            <v>CEF4</v>
          </cell>
          <cell r="U358" t="str">
            <v xml:space="preserve"> inativado por cleber em 27.05.13</v>
          </cell>
          <cell r="W358" t="str">
            <v>I</v>
          </cell>
        </row>
        <row r="359">
          <cell r="A359">
            <v>1467</v>
          </cell>
          <cell r="B359" t="str">
            <v>CEF - STO AMARO - JOAO DIAS</v>
          </cell>
          <cell r="E359">
            <v>1330</v>
          </cell>
          <cell r="F359" t="str">
            <v>KARINA DE SOUZA SILVA</v>
          </cell>
          <cell r="G359">
            <v>41246</v>
          </cell>
          <cell r="H359" t="str">
            <v>AV. JOAO DIAS, 1669</v>
          </cell>
          <cell r="I359" t="str">
            <v>STO AMARO</v>
          </cell>
          <cell r="J359" t="str">
            <v>04723-002</v>
          </cell>
          <cell r="K359">
            <v>442</v>
          </cell>
          <cell r="L359" t="str">
            <v>SP</v>
          </cell>
          <cell r="M359" t="str">
            <v>00</v>
          </cell>
          <cell r="N359">
            <v>0</v>
          </cell>
          <cell r="O359" t="str">
            <v>00</v>
          </cell>
          <cell r="P359" t="str">
            <v>0</v>
          </cell>
          <cell r="Q359" t="str">
            <v>0</v>
          </cell>
          <cell r="T359" t="str">
            <v>CEF5</v>
          </cell>
          <cell r="U359" t="str">
            <v xml:space="preserve"> inativado por cleber em 27.05.13</v>
          </cell>
          <cell r="W359" t="str">
            <v>I</v>
          </cell>
        </row>
        <row r="360">
          <cell r="A360">
            <v>1468</v>
          </cell>
          <cell r="B360" t="str">
            <v>CEF - STO AMARO - JOAO DE LUCA</v>
          </cell>
          <cell r="E360">
            <v>1330</v>
          </cell>
          <cell r="F360" t="str">
            <v>KARINA DE SOUZA SILVA</v>
          </cell>
          <cell r="G360">
            <v>41246</v>
          </cell>
          <cell r="H360" t="str">
            <v>AV. VER JOAO DE LUCA, 820</v>
          </cell>
          <cell r="I360" t="str">
            <v>JD PRUDENCIA</v>
          </cell>
          <cell r="J360" t="str">
            <v>04381-000</v>
          </cell>
          <cell r="K360">
            <v>442</v>
          </cell>
          <cell r="L360" t="str">
            <v>SP</v>
          </cell>
          <cell r="M360" t="str">
            <v>00</v>
          </cell>
          <cell r="N360">
            <v>0</v>
          </cell>
          <cell r="O360" t="str">
            <v>00</v>
          </cell>
          <cell r="P360" t="str">
            <v>0</v>
          </cell>
          <cell r="Q360" t="str">
            <v>0</v>
          </cell>
          <cell r="T360" t="str">
            <v>CEF6</v>
          </cell>
          <cell r="U360" t="str">
            <v xml:space="preserve"> inativado por cleber em 27.05.13</v>
          </cell>
          <cell r="W360" t="str">
            <v>I</v>
          </cell>
        </row>
        <row r="361">
          <cell r="A361">
            <v>1469</v>
          </cell>
          <cell r="B361" t="str">
            <v>CEF - SE - SANTA CECILIA</v>
          </cell>
          <cell r="E361">
            <v>1330</v>
          </cell>
          <cell r="F361" t="str">
            <v>KARINA DE SOUZA SILVA</v>
          </cell>
          <cell r="G361">
            <v>41246</v>
          </cell>
          <cell r="H361" t="str">
            <v>RUA PALMEIRAS, 233</v>
          </cell>
          <cell r="I361" t="str">
            <v>SANTA CECILIA</v>
          </cell>
          <cell r="J361" t="str">
            <v>01226-010</v>
          </cell>
          <cell r="K361">
            <v>442</v>
          </cell>
          <cell r="L361" t="str">
            <v>SP</v>
          </cell>
          <cell r="M361" t="str">
            <v>00</v>
          </cell>
          <cell r="N361">
            <v>0</v>
          </cell>
          <cell r="O361" t="str">
            <v>00</v>
          </cell>
          <cell r="P361" t="str">
            <v>0</v>
          </cell>
          <cell r="Q361" t="str">
            <v>0</v>
          </cell>
          <cell r="T361" t="str">
            <v>CEF7</v>
          </cell>
          <cell r="U361" t="str">
            <v xml:space="preserve"> inativado por cleber em 27.05.13</v>
          </cell>
          <cell r="W361" t="str">
            <v>I</v>
          </cell>
        </row>
        <row r="362">
          <cell r="A362">
            <v>1470</v>
          </cell>
          <cell r="B362" t="str">
            <v>CEF - SE - PORTO GERAL</v>
          </cell>
          <cell r="E362">
            <v>1330</v>
          </cell>
          <cell r="F362" t="str">
            <v>KARINA DE SOUZA SILVA</v>
          </cell>
          <cell r="G362">
            <v>41246</v>
          </cell>
          <cell r="H362" t="str">
            <v>RUA BOA VISTA, 304</v>
          </cell>
          <cell r="I362" t="str">
            <v>CENTRO</v>
          </cell>
          <cell r="J362" t="str">
            <v>01041-000</v>
          </cell>
          <cell r="K362">
            <v>442</v>
          </cell>
          <cell r="L362" t="str">
            <v>SP</v>
          </cell>
          <cell r="M362" t="str">
            <v>00</v>
          </cell>
          <cell r="N362">
            <v>0</v>
          </cell>
          <cell r="O362" t="str">
            <v>00</v>
          </cell>
          <cell r="P362" t="str">
            <v>0</v>
          </cell>
          <cell r="Q362" t="str">
            <v>0</v>
          </cell>
          <cell r="T362" t="str">
            <v>CEF8</v>
          </cell>
          <cell r="U362" t="str">
            <v xml:space="preserve"> inativado por cleber em 27.05.13</v>
          </cell>
          <cell r="W362" t="str">
            <v>I</v>
          </cell>
        </row>
        <row r="363">
          <cell r="A363">
            <v>1471</v>
          </cell>
          <cell r="B363" t="str">
            <v>CEF - SE - PARQUE DA ACLIMACAO</v>
          </cell>
          <cell r="E363">
            <v>1330</v>
          </cell>
          <cell r="F363" t="str">
            <v>KARINA DE SOUZA SILVA</v>
          </cell>
          <cell r="G363">
            <v>41246</v>
          </cell>
          <cell r="H363" t="str">
            <v>AV. ACLIMACAO, 94</v>
          </cell>
          <cell r="I363" t="str">
            <v>ACLIMACAO</v>
          </cell>
          <cell r="J363" t="str">
            <v>01531-000</v>
          </cell>
          <cell r="K363">
            <v>442</v>
          </cell>
          <cell r="L363" t="str">
            <v>SP</v>
          </cell>
          <cell r="M363" t="str">
            <v>0</v>
          </cell>
          <cell r="N363">
            <v>0</v>
          </cell>
          <cell r="O363" t="str">
            <v>0</v>
          </cell>
          <cell r="P363" t="str">
            <v>0</v>
          </cell>
          <cell r="Q363" t="str">
            <v>0</v>
          </cell>
          <cell r="T363" t="str">
            <v>CEF9</v>
          </cell>
          <cell r="U363" t="str">
            <v xml:space="preserve"> inativado por cleber em 27.05.13</v>
          </cell>
          <cell r="W363" t="str">
            <v>I</v>
          </cell>
        </row>
        <row r="364">
          <cell r="A364">
            <v>1472</v>
          </cell>
          <cell r="B364" t="str">
            <v>CEF - SE - HIGIENOPOLIS</v>
          </cell>
          <cell r="E364">
            <v>1330</v>
          </cell>
          <cell r="F364" t="str">
            <v>KARINA DE SOUZA SILVA</v>
          </cell>
          <cell r="G364">
            <v>41246</v>
          </cell>
          <cell r="H364" t="str">
            <v>RUA DR. VEIGA FILHO, 35</v>
          </cell>
          <cell r="I364" t="str">
            <v>HIGIENOPOLIS</v>
          </cell>
          <cell r="J364" t="str">
            <v>01229-000</v>
          </cell>
          <cell r="K364">
            <v>442</v>
          </cell>
          <cell r="L364" t="str">
            <v>SP</v>
          </cell>
          <cell r="M364" t="str">
            <v>00</v>
          </cell>
          <cell r="N364">
            <v>0</v>
          </cell>
          <cell r="O364" t="str">
            <v>00</v>
          </cell>
          <cell r="P364" t="str">
            <v>00</v>
          </cell>
          <cell r="Q364" t="str">
            <v>0</v>
          </cell>
          <cell r="T364" t="str">
            <v>CEF10</v>
          </cell>
          <cell r="U364" t="str">
            <v xml:space="preserve"> inativado por cleber em 27.05.13</v>
          </cell>
          <cell r="W364" t="str">
            <v>I</v>
          </cell>
        </row>
        <row r="365">
          <cell r="A365">
            <v>1462</v>
          </cell>
          <cell r="B365" t="str">
            <v>BANCO DO BRASIL-SANTA ISABEL VIAMÃO</v>
          </cell>
          <cell r="C365">
            <v>0</v>
          </cell>
          <cell r="E365">
            <v>2590</v>
          </cell>
          <cell r="F365" t="str">
            <v>VIVIANE GUEDES PACHECO</v>
          </cell>
          <cell r="G365">
            <v>41239</v>
          </cell>
          <cell r="H365" t="str">
            <v>AV. LIBERDADE, 2265</v>
          </cell>
          <cell r="K365">
            <v>29</v>
          </cell>
          <cell r="L365" t="str">
            <v>RS</v>
          </cell>
          <cell r="M365" t="str">
            <v xml:space="preserve">5134938171 </v>
          </cell>
          <cell r="N365">
            <v>154</v>
          </cell>
          <cell r="O365" t="str">
            <v xml:space="preserve">5134938171 </v>
          </cell>
          <cell r="P365" t="str">
            <v>monitoria.desempenho@facta.com.br</v>
          </cell>
          <cell r="Q365" t="str">
            <v>monitoria.desempenho@facta.com.br</v>
          </cell>
          <cell r="T365" t="str">
            <v>1462</v>
          </cell>
          <cell r="U365" t="str">
            <v>solicitado por Estela Mara 26/11.    inativado por cleber em 27.05.13</v>
          </cell>
          <cell r="W365" t="str">
            <v>I</v>
          </cell>
        </row>
        <row r="366">
          <cell r="A366">
            <v>1459</v>
          </cell>
          <cell r="B366" t="str">
            <v>BANCO DO BRASIL- TAPES</v>
          </cell>
          <cell r="E366">
            <v>7068</v>
          </cell>
          <cell r="F366" t="str">
            <v>CLEBER ROBERTO BARBOSA DOS SANTOS</v>
          </cell>
          <cell r="G366">
            <v>41220</v>
          </cell>
          <cell r="H366" t="str">
            <v>AV. ASSIS BRASIL,243</v>
          </cell>
          <cell r="I366" t="str">
            <v>CENTRO</v>
          </cell>
          <cell r="J366" t="str">
            <v>96760-000</v>
          </cell>
          <cell r="K366">
            <v>17</v>
          </cell>
          <cell r="L366" t="str">
            <v>RS</v>
          </cell>
          <cell r="M366" t="str">
            <v xml:space="preserve">5136721447 </v>
          </cell>
          <cell r="N366">
            <v>150</v>
          </cell>
          <cell r="O366" t="str">
            <v xml:space="preserve">5136721447 </v>
          </cell>
          <cell r="P366" t="str">
            <v>monitoria.desempenho@facta.com.br</v>
          </cell>
          <cell r="Q366" t="str">
            <v>monitoria.desempenho@facta.com.br</v>
          </cell>
          <cell r="T366" t="str">
            <v>1459</v>
          </cell>
          <cell r="U366" t="str">
            <v>solicitado por Cleber 07/11.</v>
          </cell>
          <cell r="W366" t="str">
            <v>I</v>
          </cell>
        </row>
        <row r="367">
          <cell r="A367">
            <v>1460</v>
          </cell>
          <cell r="B367" t="str">
            <v>BANCO DO BRASIL - IJUÍ</v>
          </cell>
          <cell r="C367">
            <v>0</v>
          </cell>
          <cell r="E367">
            <v>389</v>
          </cell>
          <cell r="F367" t="str">
            <v>ANDRESSA DA SILVA DA SILVA</v>
          </cell>
          <cell r="G367">
            <v>41220</v>
          </cell>
          <cell r="K367">
            <v>42</v>
          </cell>
          <cell r="L367" t="str">
            <v>RS</v>
          </cell>
          <cell r="M367" t="str">
            <v>000</v>
          </cell>
          <cell r="N367">
            <v>151</v>
          </cell>
          <cell r="O367" t="str">
            <v>000</v>
          </cell>
          <cell r="P367" t="str">
            <v>monitoria.desempenho@facta.com.br</v>
          </cell>
          <cell r="Q367" t="str">
            <v>monitoria.desempenho@facta.com.br</v>
          </cell>
          <cell r="T367" t="str">
            <v>1460</v>
          </cell>
          <cell r="U367" t="str">
            <v>SOLICITADO POR CLEBER 07/11    inativado por cleber em 27.05.13</v>
          </cell>
          <cell r="W367" t="str">
            <v>I</v>
          </cell>
        </row>
        <row r="368">
          <cell r="A368">
            <v>1461</v>
          </cell>
          <cell r="B368" t="str">
            <v>BANCO DO BRASIL - FARRAPOS</v>
          </cell>
          <cell r="E368">
            <v>2590</v>
          </cell>
          <cell r="F368" t="str">
            <v>VIVIANE GUEDES PACHECO</v>
          </cell>
          <cell r="G368">
            <v>41220</v>
          </cell>
          <cell r="K368">
            <v>35</v>
          </cell>
          <cell r="L368" t="str">
            <v>RS</v>
          </cell>
          <cell r="M368" t="str">
            <v>00</v>
          </cell>
          <cell r="N368">
            <v>153</v>
          </cell>
          <cell r="O368" t="str">
            <v>00</v>
          </cell>
          <cell r="P368" t="str">
            <v>monitoria.desempenho@facta.com.br</v>
          </cell>
          <cell r="Q368" t="str">
            <v>monitoria.desempenho@facta.com.br</v>
          </cell>
          <cell r="T368" t="str">
            <v>1461</v>
          </cell>
          <cell r="U368" t="str">
            <v>SOLICITADO POR CLEBER 07/11    inativado por cleber em 27.05.13</v>
          </cell>
          <cell r="W368" t="str">
            <v>I</v>
          </cell>
        </row>
        <row r="369">
          <cell r="A369">
            <v>1458</v>
          </cell>
          <cell r="B369" t="str">
            <v>LOJA CANOAS - GUAJUVIRAS - RS</v>
          </cell>
          <cell r="C369">
            <v>3802</v>
          </cell>
          <cell r="D369" t="str">
            <v>THAMIRES IZIDORO DO NASCIMENTO SILVA</v>
          </cell>
          <cell r="E369">
            <v>763</v>
          </cell>
          <cell r="F369" t="str">
            <v>ADRIELE DA SILVA SOUZA</v>
          </cell>
          <cell r="G369">
            <v>41204</v>
          </cell>
          <cell r="H369" t="str">
            <v>RUA BOQUEIRÃO Nº 706 SALA 02</v>
          </cell>
          <cell r="I369" t="str">
            <v>GUAJUVIRAS</v>
          </cell>
          <cell r="J369" t="str">
            <v>92032-420</v>
          </cell>
          <cell r="K369">
            <v>7</v>
          </cell>
          <cell r="L369" t="str">
            <v>RS</v>
          </cell>
          <cell r="M369" t="str">
            <v>5134760212</v>
          </cell>
          <cell r="N369">
            <v>284</v>
          </cell>
          <cell r="O369" t="str">
            <v>5134760212</v>
          </cell>
          <cell r="P369" t="str">
            <v>taia.pavani@factalojas.com.br</v>
          </cell>
          <cell r="Q369" t="str">
            <v>loja1458@facta.com.br;thamires.nascimento@facta.com.br</v>
          </cell>
          <cell r="S369" t="str">
            <v>loja1458@facta.com.br;thamires.nascimento@facta.com.br</v>
          </cell>
          <cell r="T369" t="str">
            <v>1458</v>
          </cell>
          <cell r="U369" t="str">
            <v/>
          </cell>
          <cell r="W369" t="str">
            <v>A</v>
          </cell>
        </row>
        <row r="370">
          <cell r="A370">
            <v>8211</v>
          </cell>
          <cell r="B370" t="str">
            <v>LOJA PE - DJAVAN ALVES SIMOES</v>
          </cell>
          <cell r="E370">
            <v>1513</v>
          </cell>
          <cell r="F370" t="str">
            <v>ALECSANDRA CHAVES BALBINO</v>
          </cell>
          <cell r="G370">
            <v>41185</v>
          </cell>
          <cell r="H370" t="str">
            <v/>
          </cell>
          <cell r="K370">
            <v>617</v>
          </cell>
          <cell r="L370" t="str">
            <v>PE</v>
          </cell>
          <cell r="N370">
            <v>0</v>
          </cell>
          <cell r="T370" t="str">
            <v>DJAVANS</v>
          </cell>
          <cell r="U370" t="str">
            <v/>
          </cell>
          <cell r="W370" t="str">
            <v>I</v>
          </cell>
        </row>
        <row r="371">
          <cell r="A371">
            <v>8210</v>
          </cell>
          <cell r="B371" t="str">
            <v>LOJA GBOEX - MARIA TERESA DE LIMA</v>
          </cell>
          <cell r="E371">
            <v>0</v>
          </cell>
          <cell r="G371">
            <v>41121</v>
          </cell>
          <cell r="K371">
            <v>617</v>
          </cell>
          <cell r="L371" t="str">
            <v>PE</v>
          </cell>
          <cell r="N371">
            <v>75</v>
          </cell>
          <cell r="P371" t="str">
            <v>silvana@factaemprestimos.com.br</v>
          </cell>
          <cell r="Q371" t="str">
            <v>alecsandra.balbino@factaemprestimos.com.br</v>
          </cell>
          <cell r="T371" t="str">
            <v>MLIMA</v>
          </cell>
          <cell r="U371" t="str">
            <v>Inativado Conforme solicitação da Silvana Cenci vi</v>
          </cell>
          <cell r="W371" t="str">
            <v>I</v>
          </cell>
        </row>
        <row r="372">
          <cell r="A372">
            <v>50990</v>
          </cell>
          <cell r="B372" t="str">
            <v>LOJA FREITAS 5083</v>
          </cell>
          <cell r="G372">
            <v>41109</v>
          </cell>
          <cell r="K372">
            <v>442</v>
          </cell>
          <cell r="L372" t="str">
            <v>SP</v>
          </cell>
          <cell r="N372">
            <v>0</v>
          </cell>
          <cell r="U372" t="str">
            <v>CÓDIGO EXCLUSIVO PARA TELEMARKETING    inativado por cleber em 27.05.13</v>
          </cell>
          <cell r="W372" t="str">
            <v>I</v>
          </cell>
        </row>
        <row r="373">
          <cell r="A373">
            <v>8209</v>
          </cell>
          <cell r="B373" t="str">
            <v>LOJA PE - FLAVIA DOS SANTOS FERREIRA</v>
          </cell>
          <cell r="E373">
            <v>95</v>
          </cell>
          <cell r="F373" t="str">
            <v>SILVANA DE FATIMA CENCI</v>
          </cell>
          <cell r="G373">
            <v>41107</v>
          </cell>
          <cell r="K373">
            <v>617</v>
          </cell>
          <cell r="L373" t="str">
            <v>PE</v>
          </cell>
          <cell r="N373">
            <v>75</v>
          </cell>
          <cell r="P373" t="str">
            <v>alecsandra.balbino@factaemprestimos.com.br</v>
          </cell>
          <cell r="Q373" t="str">
            <v>silvana@factaemprestimos.com.br</v>
          </cell>
          <cell r="T373" t="str">
            <v>FFRA</v>
          </cell>
          <cell r="U373" t="str">
            <v>Inativado Conforme solicitação da Silvana Cenci vi</v>
          </cell>
          <cell r="W373" t="str">
            <v>I</v>
          </cell>
        </row>
        <row r="374">
          <cell r="A374">
            <v>7904</v>
          </cell>
          <cell r="B374" t="str">
            <v>LOJA BA - PRISCILA GALVAO DA SILVA</v>
          </cell>
          <cell r="G374">
            <v>41096</v>
          </cell>
          <cell r="K374">
            <v>1002</v>
          </cell>
          <cell r="L374" t="str">
            <v>BA</v>
          </cell>
          <cell r="N374">
            <v>126</v>
          </cell>
          <cell r="T374" t="str">
            <v>PRISI</v>
          </cell>
          <cell r="W374" t="str">
            <v>I</v>
          </cell>
        </row>
        <row r="375">
          <cell r="A375">
            <v>1457</v>
          </cell>
          <cell r="B375" t="str">
            <v>LOJA CANOAS  ( BANCO DO BRASIL )</v>
          </cell>
          <cell r="E375">
            <v>2590</v>
          </cell>
          <cell r="F375" t="str">
            <v>VIVIANE GUEDES PACHECO</v>
          </cell>
          <cell r="G375">
            <v>41082</v>
          </cell>
          <cell r="K375">
            <v>7</v>
          </cell>
          <cell r="L375" t="str">
            <v>RS</v>
          </cell>
          <cell r="M375" t="str">
            <v>000</v>
          </cell>
          <cell r="N375">
            <v>146</v>
          </cell>
          <cell r="O375" t="str">
            <v>000</v>
          </cell>
          <cell r="P375" t="str">
            <v>0</v>
          </cell>
          <cell r="Q375" t="str">
            <v>0</v>
          </cell>
          <cell r="T375" t="str">
            <v>1457</v>
          </cell>
          <cell r="U375" t="str">
            <v>CLEBER SOLICITOU A ABERTURA DO CODIGO 21/06/2012    inativado por cleber em 27.05.13</v>
          </cell>
          <cell r="W375" t="str">
            <v>I</v>
          </cell>
        </row>
        <row r="376">
          <cell r="A376">
            <v>7903</v>
          </cell>
          <cell r="B376" t="str">
            <v>LOJA BA -  DANIELA SANTOS PIMENTEL</v>
          </cell>
          <cell r="E376">
            <v>1933</v>
          </cell>
          <cell r="F376" t="str">
            <v>LORENA PALUMBO GAVAZZA</v>
          </cell>
          <cell r="G376">
            <v>41040</v>
          </cell>
          <cell r="K376">
            <v>1002</v>
          </cell>
          <cell r="L376" t="str">
            <v>BA</v>
          </cell>
          <cell r="N376">
            <v>0</v>
          </cell>
          <cell r="U376" t="str">
            <v>INATIVADO EM 10/9/12 POR DIEGO</v>
          </cell>
          <cell r="W376" t="str">
            <v>I</v>
          </cell>
        </row>
        <row r="377">
          <cell r="A377">
            <v>1455</v>
          </cell>
          <cell r="B377" t="str">
            <v>LOJA ESTEIO 2 - RS</v>
          </cell>
          <cell r="E377">
            <v>0</v>
          </cell>
          <cell r="G377">
            <v>41037</v>
          </cell>
          <cell r="H377" t="str">
            <v>PRESIDENTE VARGAS  Nº 2323</v>
          </cell>
          <cell r="I377" t="str">
            <v>CENTRO</v>
          </cell>
          <cell r="J377" t="str">
            <v>93260-075</v>
          </cell>
          <cell r="K377">
            <v>32</v>
          </cell>
          <cell r="L377" t="str">
            <v>RS</v>
          </cell>
          <cell r="M377" t="str">
            <v xml:space="preserve">5134590077 </v>
          </cell>
          <cell r="N377">
            <v>144</v>
          </cell>
          <cell r="O377" t="str">
            <v xml:space="preserve">5134590077 </v>
          </cell>
          <cell r="P377" t="str">
            <v>loja1455@facta.com.br</v>
          </cell>
          <cell r="Q377" t="str">
            <v>0</v>
          </cell>
          <cell r="T377" t="str">
            <v>1455</v>
          </cell>
          <cell r="U377" t="str">
            <v>CLEBER SOLICITOU A ABERTURA DO CODIGO 08/05/2012</v>
          </cell>
          <cell r="W377" t="str">
            <v>I</v>
          </cell>
        </row>
        <row r="378">
          <cell r="A378">
            <v>1456</v>
          </cell>
          <cell r="B378" t="str">
            <v>LOJA GRAVATAI  ( BANCO DO BRASIL )</v>
          </cell>
          <cell r="E378">
            <v>7068</v>
          </cell>
          <cell r="F378" t="str">
            <v>CLEBER ROBERTO BARBOSA DOS SANTOS</v>
          </cell>
          <cell r="G378">
            <v>41037</v>
          </cell>
          <cell r="H378" t="str">
            <v>RUA DOUTOR LUIZ BASTOS DO PRADO</v>
          </cell>
          <cell r="I378" t="str">
            <v>CENTRO</v>
          </cell>
          <cell r="J378" t="str">
            <v>94010-020</v>
          </cell>
          <cell r="K378">
            <v>34</v>
          </cell>
          <cell r="L378" t="str">
            <v>RS</v>
          </cell>
          <cell r="M378" t="str">
            <v xml:space="preserve">5134884100 </v>
          </cell>
          <cell r="N378">
            <v>0</v>
          </cell>
          <cell r="O378" t="str">
            <v xml:space="preserve">5134884100 </v>
          </cell>
          <cell r="P378" t="str">
            <v>0</v>
          </cell>
          <cell r="Q378" t="str">
            <v>0</v>
          </cell>
          <cell r="T378" t="str">
            <v>1456</v>
          </cell>
          <cell r="U378" t="str">
            <v>CLEBER SOLICITOU A ABERTURA DO CODIGO 08/05/2012</v>
          </cell>
          <cell r="W378" t="str">
            <v>I</v>
          </cell>
        </row>
        <row r="379">
          <cell r="A379">
            <v>1454</v>
          </cell>
          <cell r="B379" t="str">
            <v>LOJA TAQUARA 2 - RS</v>
          </cell>
          <cell r="C379">
            <v>0</v>
          </cell>
          <cell r="E379">
            <v>0</v>
          </cell>
          <cell r="G379">
            <v>41032</v>
          </cell>
          <cell r="H379" t="str">
            <v xml:space="preserve">AV JULIO DE CATILHOS, 2710 SL 13 </v>
          </cell>
          <cell r="I379" t="str">
            <v>CENTRO</v>
          </cell>
          <cell r="J379" t="str">
            <v>95600-000</v>
          </cell>
          <cell r="K379">
            <v>11</v>
          </cell>
          <cell r="L379" t="str">
            <v>RS</v>
          </cell>
          <cell r="M379" t="str">
            <v xml:space="preserve">5135411020 </v>
          </cell>
          <cell r="N379">
            <v>138</v>
          </cell>
          <cell r="O379" t="str">
            <v xml:space="preserve">5135411020 </v>
          </cell>
          <cell r="P379" t="str">
            <v>loja1454@facta.com.br</v>
          </cell>
          <cell r="Q379" t="str">
            <v>0</v>
          </cell>
          <cell r="T379" t="str">
            <v>1454</v>
          </cell>
          <cell r="U379" t="str">
            <v>EMAIL CADASTRADO CONF SOLT PORTAL 25853</v>
          </cell>
          <cell r="W379" t="str">
            <v>I</v>
          </cell>
        </row>
        <row r="380">
          <cell r="A380">
            <v>7902</v>
          </cell>
          <cell r="B380" t="str">
            <v>LOJA BA - JERONIMO FRANCO TUDELA</v>
          </cell>
          <cell r="E380">
            <v>2751</v>
          </cell>
          <cell r="F380" t="str">
            <v>SIRLENE SANTOS DE SOUZA BARBOSA</v>
          </cell>
          <cell r="G380">
            <v>41008</v>
          </cell>
          <cell r="K380">
            <v>1002</v>
          </cell>
          <cell r="L380" t="str">
            <v>BA</v>
          </cell>
          <cell r="N380">
            <v>126</v>
          </cell>
          <cell r="P380" t="str">
            <v>victor.andrade@factaemprestimos.com.br</v>
          </cell>
          <cell r="U380" t="str">
            <v>inativado por lorena em 09/07/13</v>
          </cell>
          <cell r="W380" t="str">
            <v>I</v>
          </cell>
        </row>
        <row r="381">
          <cell r="A381">
            <v>7901</v>
          </cell>
          <cell r="B381" t="str">
            <v>CALL CENTER BA I</v>
          </cell>
          <cell r="E381">
            <v>2751</v>
          </cell>
          <cell r="F381" t="str">
            <v>SIRLENE SANTOS DE SOUZA BARBOSA</v>
          </cell>
          <cell r="G381">
            <v>41001</v>
          </cell>
          <cell r="H381" t="str">
            <v>RUA DA BELGICA Nº 148 LOJA C</v>
          </cell>
          <cell r="I381" t="str">
            <v>COMERCIO</v>
          </cell>
          <cell r="J381" t="str">
            <v>40010-030</v>
          </cell>
          <cell r="K381">
            <v>1002</v>
          </cell>
          <cell r="L381" t="str">
            <v>BA</v>
          </cell>
          <cell r="M381" t="str">
            <v xml:space="preserve">7130259666 </v>
          </cell>
          <cell r="N381">
            <v>633</v>
          </cell>
          <cell r="O381" t="str">
            <v xml:space="preserve">7130259666 </v>
          </cell>
          <cell r="P381" t="str">
            <v>geane.gomes@facta.com.br</v>
          </cell>
          <cell r="Q381" t="str">
            <v>geane.gomes@facta.com.br</v>
          </cell>
          <cell r="S381" t="str">
            <v>geane.gomes@facta.com.br</v>
          </cell>
          <cell r="T381" t="str">
            <v>vendasba</v>
          </cell>
          <cell r="W381" t="str">
            <v>I</v>
          </cell>
        </row>
        <row r="382">
          <cell r="A382">
            <v>1453</v>
          </cell>
          <cell r="B382" t="str">
            <v>LOJA BENTO GONCALVES - RS</v>
          </cell>
          <cell r="C382">
            <v>3802</v>
          </cell>
          <cell r="D382" t="str">
            <v>THAMIRES IZIDORO DO NASCIMENTO SILVA</v>
          </cell>
          <cell r="E382">
            <v>763</v>
          </cell>
          <cell r="F382" t="str">
            <v>ADRIELE DA SILVA SOUZA</v>
          </cell>
          <cell r="G382">
            <v>40987</v>
          </cell>
          <cell r="H382" t="str">
            <v>RUA GENERAL GOMES CARNEIRO, 83 - LOJA 5</v>
          </cell>
          <cell r="I382" t="str">
            <v>CENTRO</v>
          </cell>
          <cell r="J382" t="str">
            <v>95700-172</v>
          </cell>
          <cell r="K382">
            <v>85</v>
          </cell>
          <cell r="L382" t="str">
            <v>RS</v>
          </cell>
          <cell r="M382" t="str">
            <v>5430520700</v>
          </cell>
          <cell r="N382">
            <v>136</v>
          </cell>
          <cell r="O382" t="str">
            <v>5430520700</v>
          </cell>
          <cell r="P382" t="str">
            <v>sara.piedade@factalojas.com.br</v>
          </cell>
          <cell r="Q382" t="str">
            <v>sara.piedade@factalojas.com.br</v>
          </cell>
          <cell r="S382" t="str">
            <v>loja1453@factalojas.com.br</v>
          </cell>
          <cell r="T382" t="str">
            <v>1453</v>
          </cell>
          <cell r="U382" t="str">
            <v xml:space="preserve">SARA LETICIA FREITAS RODRIGUES PIEDADE_x000D_
216.728.758-54_x000D_
359144093_x000D_
20/03/1979_x000D_
</v>
          </cell>
          <cell r="W382" t="str">
            <v>A</v>
          </cell>
        </row>
        <row r="383">
          <cell r="A383">
            <v>8208</v>
          </cell>
          <cell r="B383" t="str">
            <v>LOJA PE - ERICKA FERNANDA FREIRE DA SILVA XAVIER</v>
          </cell>
          <cell r="E383">
            <v>1513</v>
          </cell>
          <cell r="F383" t="str">
            <v>ALECSANDRA CHAVES BALBINO</v>
          </cell>
          <cell r="G383">
            <v>40954</v>
          </cell>
          <cell r="K383">
            <v>617</v>
          </cell>
          <cell r="L383" t="str">
            <v>PE</v>
          </cell>
          <cell r="N383">
            <v>0</v>
          </cell>
          <cell r="P383" t="str">
            <v>ericka.xavier@factaemprestimos.com.br</v>
          </cell>
          <cell r="Q383" t="str">
            <v/>
          </cell>
          <cell r="T383" t="str">
            <v>ERICKAF</v>
          </cell>
          <cell r="U383" t="str">
            <v>COD ANTIGO DA GERLANE</v>
          </cell>
          <cell r="W383" t="str">
            <v>I</v>
          </cell>
        </row>
        <row r="384">
          <cell r="A384">
            <v>1447</v>
          </cell>
          <cell r="B384" t="str">
            <v>LOJA PANAMBI</v>
          </cell>
          <cell r="E384">
            <v>0</v>
          </cell>
          <cell r="G384">
            <v>40948</v>
          </cell>
          <cell r="H384" t="str">
            <v>RUA ANDRADE NEVES, 29 - SALA  04</v>
          </cell>
          <cell r="I384" t="str">
            <v>CENTRO</v>
          </cell>
          <cell r="J384" t="str">
            <v>98280-000</v>
          </cell>
          <cell r="K384">
            <v>231</v>
          </cell>
          <cell r="L384" t="str">
            <v>RS</v>
          </cell>
          <cell r="M384" t="str">
            <v xml:space="preserve">5533750379 </v>
          </cell>
          <cell r="N384">
            <v>135</v>
          </cell>
          <cell r="O384" t="str">
            <v xml:space="preserve">5533750379 </v>
          </cell>
          <cell r="P384" t="str">
            <v>Loja1447@facta.com.br</v>
          </cell>
          <cell r="Q384" t="str">
            <v>0</v>
          </cell>
          <cell r="T384" t="str">
            <v>PANAMBI</v>
          </cell>
          <cell r="U384" t="str">
            <v xml:space="preserve">AINDA NÃO TEMOS TODAS AS INFORMAÇÕES </v>
          </cell>
          <cell r="W384" t="str">
            <v>I</v>
          </cell>
        </row>
        <row r="385">
          <cell r="A385">
            <v>1446</v>
          </cell>
          <cell r="B385" t="str">
            <v>LOJA - NOVA HARTZ</v>
          </cell>
          <cell r="E385">
            <v>332</v>
          </cell>
          <cell r="F385" t="str">
            <v>ANGELICA GELINGER</v>
          </cell>
          <cell r="G385">
            <v>40932</v>
          </cell>
          <cell r="H385" t="str">
            <v>RUA EMILIO JOST, 146 - SL 02</v>
          </cell>
          <cell r="I385" t="str">
            <v>CENTRO</v>
          </cell>
          <cell r="J385" t="str">
            <v>93890-000</v>
          </cell>
          <cell r="K385">
            <v>256</v>
          </cell>
          <cell r="L385" t="str">
            <v>RS</v>
          </cell>
          <cell r="M385" t="str">
            <v xml:space="preserve">5135651212 </v>
          </cell>
          <cell r="N385">
            <v>132</v>
          </cell>
          <cell r="O385" t="str">
            <v xml:space="preserve">5135651212 </v>
          </cell>
          <cell r="P385" t="str">
            <v>loja1446@factaemprestimos.com.br</v>
          </cell>
          <cell r="Q385" t="str">
            <v>0</v>
          </cell>
          <cell r="T385" t="str">
            <v>LOJA1446</v>
          </cell>
          <cell r="W385" t="str">
            <v>I</v>
          </cell>
        </row>
        <row r="386">
          <cell r="A386">
            <v>2801</v>
          </cell>
          <cell r="B386" t="str">
            <v>LOJA  -  CONCORDIA</v>
          </cell>
          <cell r="E386">
            <v>7068</v>
          </cell>
          <cell r="F386" t="str">
            <v>CLEBER ROBERTO BARBOSA DOS SANTOS</v>
          </cell>
          <cell r="G386">
            <v>40926</v>
          </cell>
          <cell r="H386" t="str">
            <v>RUA DR. MARURI  Nº 975  SALA:01</v>
          </cell>
          <cell r="I386" t="str">
            <v>CENTRO</v>
          </cell>
          <cell r="J386" t="str">
            <v>89700-000</v>
          </cell>
          <cell r="K386">
            <v>1729</v>
          </cell>
          <cell r="L386" t="str">
            <v>SC</v>
          </cell>
          <cell r="M386" t="str">
            <v>04934448427</v>
          </cell>
          <cell r="N386">
            <v>128</v>
          </cell>
          <cell r="O386" t="str">
            <v>04934448427</v>
          </cell>
          <cell r="P386" t="str">
            <v>loja2801@factaemprestimos.com.br</v>
          </cell>
          <cell r="T386" t="str">
            <v>2801</v>
          </cell>
          <cell r="W386" t="str">
            <v>I</v>
          </cell>
        </row>
        <row r="387">
          <cell r="A387">
            <v>8207</v>
          </cell>
          <cell r="B387" t="str">
            <v>LOJA PE - TATIANE SILVA DA MOTAVA</v>
          </cell>
          <cell r="G387">
            <v>40919</v>
          </cell>
          <cell r="H387" t="str">
            <v>AV. SIQUEIRA CAMPOS, 251 - TERREO</v>
          </cell>
          <cell r="I387" t="str">
            <v>SANTO ANTONIO</v>
          </cell>
          <cell r="K387">
            <v>617</v>
          </cell>
          <cell r="L387" t="str">
            <v>PE</v>
          </cell>
          <cell r="N387">
            <v>0</v>
          </cell>
          <cell r="U387" t="str">
            <v>DESLIGADO EM 23/01/2012</v>
          </cell>
          <cell r="W387" t="str">
            <v>I</v>
          </cell>
        </row>
        <row r="388">
          <cell r="A388">
            <v>1452</v>
          </cell>
          <cell r="B388" t="str">
            <v>LOJA CAPAO DA CANOA</v>
          </cell>
          <cell r="C388">
            <v>0</v>
          </cell>
          <cell r="E388">
            <v>0</v>
          </cell>
          <cell r="G388">
            <v>40906</v>
          </cell>
          <cell r="H388" t="str">
            <v xml:space="preserve">AV. PARAGUASSU, 2021 / LOJA 6 CENTER SHOPPING </v>
          </cell>
          <cell r="I388" t="str">
            <v>CENTRO</v>
          </cell>
          <cell r="K388">
            <v>61</v>
          </cell>
          <cell r="L388" t="str">
            <v>RS</v>
          </cell>
          <cell r="M388" t="str">
            <v xml:space="preserve">5136252957 </v>
          </cell>
          <cell r="N388">
            <v>123</v>
          </cell>
          <cell r="O388" t="str">
            <v xml:space="preserve">5136252957 </v>
          </cell>
          <cell r="P388" t="str">
            <v>loja1452@factaemprestimos.com.br</v>
          </cell>
          <cell r="Q388" t="str">
            <v>0</v>
          </cell>
          <cell r="T388" t="str">
            <v>CAPAO</v>
          </cell>
          <cell r="U388" t="str">
            <v>EVERTON SOLICITOU A ABERTURA DO CODIGO</v>
          </cell>
          <cell r="W388" t="str">
            <v>I</v>
          </cell>
        </row>
        <row r="389">
          <cell r="A389">
            <v>7900</v>
          </cell>
          <cell r="B389" t="str">
            <v>LOJA SALVADOR - BA</v>
          </cell>
          <cell r="C389">
            <v>12518</v>
          </cell>
          <cell r="D389" t="str">
            <v>LUANA SANTOS FURMANEK</v>
          </cell>
          <cell r="E389">
            <v>5452</v>
          </cell>
          <cell r="F389" t="str">
            <v>CRISTIANE CARVALHO GEBELATTO</v>
          </cell>
          <cell r="G389">
            <v>40897</v>
          </cell>
          <cell r="H389" t="str">
            <v xml:space="preserve">RUA DA BÉLGICA, 148 LOJA C </v>
          </cell>
          <cell r="I389" t="str">
            <v>COMERCIO</v>
          </cell>
          <cell r="J389" t="str">
            <v>40010-030</v>
          </cell>
          <cell r="K389">
            <v>1002</v>
          </cell>
          <cell r="L389" t="str">
            <v>BA</v>
          </cell>
          <cell r="M389" t="str">
            <v>7130259687</v>
          </cell>
          <cell r="N389">
            <v>126</v>
          </cell>
          <cell r="O389" t="str">
            <v>7130259687</v>
          </cell>
          <cell r="P389" t="str">
            <v>silas.oliveira@factalojas.com.br</v>
          </cell>
          <cell r="Q389" t="str">
            <v>silas.oliveira@factalojas.com.br</v>
          </cell>
          <cell r="S389" t="str">
            <v>silas.oliveira@factalojas.com.br</v>
          </cell>
          <cell r="T389" t="str">
            <v>salvador</v>
          </cell>
          <cell r="U389" t="str">
            <v xml:space="preserve">_x000D_
</v>
          </cell>
          <cell r="W389" t="str">
            <v>A</v>
          </cell>
        </row>
        <row r="390">
          <cell r="A390">
            <v>3801</v>
          </cell>
          <cell r="B390" t="str">
            <v>LOJA FAZENDA RIO GRANDE - PR</v>
          </cell>
          <cell r="C390">
            <v>10803</v>
          </cell>
          <cell r="D390" t="str">
            <v>JOAO GUALBERTO BRAZ JUNIOR</v>
          </cell>
          <cell r="E390">
            <v>3826</v>
          </cell>
          <cell r="F390" t="str">
            <v>CINARA REGINA KEMERICH</v>
          </cell>
          <cell r="G390">
            <v>40896</v>
          </cell>
          <cell r="H390" t="str">
            <v xml:space="preserve">RUA:CESAR CARELLI  Nº 151 SALA 1 </v>
          </cell>
          <cell r="I390" t="str">
            <v>PIONEIROS</v>
          </cell>
          <cell r="J390" t="str">
            <v>83833-054</v>
          </cell>
          <cell r="K390">
            <v>970380</v>
          </cell>
          <cell r="L390" t="str">
            <v>PR</v>
          </cell>
          <cell r="M390" t="str">
            <v>4130607043</v>
          </cell>
          <cell r="N390">
            <v>125</v>
          </cell>
          <cell r="O390" t="str">
            <v>4130607043</v>
          </cell>
          <cell r="P390" t="str">
            <v>loja3801@factalojas.com.br;debora.rocha@factalojas.com.br</v>
          </cell>
          <cell r="Q390" t="str">
            <v>loja3801@factalojas.com.br</v>
          </cell>
          <cell r="S390" t="str">
            <v>loja3801@factalojas.com.br</v>
          </cell>
          <cell r="T390" t="str">
            <v>3801</v>
          </cell>
          <cell r="U390" t="str">
            <v xml:space="preserve">_x000D_
</v>
          </cell>
          <cell r="W390" t="str">
            <v>A</v>
          </cell>
        </row>
        <row r="391">
          <cell r="A391">
            <v>3802</v>
          </cell>
          <cell r="B391" t="str">
            <v>LOJA CURITIBA - PR</v>
          </cell>
          <cell r="C391">
            <v>10803</v>
          </cell>
          <cell r="D391" t="str">
            <v>JOAO GUALBERTO BRAZ JUNIOR</v>
          </cell>
          <cell r="E391">
            <v>3826</v>
          </cell>
          <cell r="F391" t="str">
            <v>CINARA REGINA KEMERICH</v>
          </cell>
          <cell r="G391">
            <v>40896</v>
          </cell>
          <cell r="H391" t="str">
            <v>ANDRE DE BARROS  205</v>
          </cell>
          <cell r="I391" t="str">
            <v>CENTRO</v>
          </cell>
          <cell r="J391" t="str">
            <v>80010-080</v>
          </cell>
          <cell r="K391">
            <v>251</v>
          </cell>
          <cell r="L391" t="str">
            <v>PR</v>
          </cell>
          <cell r="M391" t="str">
            <v>4130718888</v>
          </cell>
          <cell r="N391">
            <v>133</v>
          </cell>
          <cell r="O391" t="str">
            <v>4130718888</v>
          </cell>
          <cell r="P391" t="str">
            <v>jefferson.domackovski@factalojas.com.br</v>
          </cell>
          <cell r="Q391" t="str">
            <v>loja3802@factalojas.com.br</v>
          </cell>
          <cell r="S391" t="str">
            <v>loja3802@factalojas.com.br</v>
          </cell>
          <cell r="T391" t="str">
            <v>3802</v>
          </cell>
          <cell r="U391" t="str">
            <v/>
          </cell>
          <cell r="W391" t="str">
            <v>A</v>
          </cell>
        </row>
        <row r="392">
          <cell r="A392">
            <v>3800</v>
          </cell>
          <cell r="B392" t="str">
            <v>LOJA MARINGA - PR</v>
          </cell>
          <cell r="C392">
            <v>5897</v>
          </cell>
          <cell r="D392" t="str">
            <v>THAINARA DO CARMO SANTOS</v>
          </cell>
          <cell r="E392">
            <v>3826</v>
          </cell>
          <cell r="F392" t="str">
            <v>CINARA REGINA KEMERICH</v>
          </cell>
          <cell r="G392">
            <v>40876</v>
          </cell>
          <cell r="H392" t="str">
            <v xml:space="preserve">RUA SANTOS DUMONT  Nº 2905  LOJA 1 </v>
          </cell>
          <cell r="I392" t="str">
            <v>ZONA 1</v>
          </cell>
          <cell r="J392" t="str">
            <v>87013-050</v>
          </cell>
          <cell r="K392">
            <v>6948176</v>
          </cell>
          <cell r="L392" t="str">
            <v>PR</v>
          </cell>
          <cell r="M392" t="str">
            <v>4431121470</v>
          </cell>
          <cell r="N392">
            <v>96</v>
          </cell>
          <cell r="O392" t="str">
            <v>4431121470</v>
          </cell>
          <cell r="P392" t="str">
            <v>eliane.miranda@factalojas.com.br</v>
          </cell>
          <cell r="Q392" t="str">
            <v>thainara.santos@facta.com.br</v>
          </cell>
          <cell r="S392" t="str">
            <v>loja3800@factalojas.com.br</v>
          </cell>
          <cell r="T392" t="str">
            <v>3800</v>
          </cell>
          <cell r="U392" t="str">
            <v/>
          </cell>
          <cell r="W392" t="str">
            <v>A</v>
          </cell>
        </row>
        <row r="393">
          <cell r="A393">
            <v>8206</v>
          </cell>
          <cell r="B393" t="str">
            <v>LOJA PE - KARLA DUARTE NASCIMENTO</v>
          </cell>
          <cell r="E393">
            <v>95</v>
          </cell>
          <cell r="F393" t="str">
            <v>SILVANA DE FATIMA CENCI</v>
          </cell>
          <cell r="G393">
            <v>40865</v>
          </cell>
          <cell r="H393" t="str">
            <v>AV. SIQUEIRA CAMPOS, 251 - TERREO</v>
          </cell>
          <cell r="I393" t="str">
            <v>SANTO ANTONIO</v>
          </cell>
          <cell r="K393">
            <v>617</v>
          </cell>
          <cell r="L393" t="str">
            <v>PE</v>
          </cell>
          <cell r="N393">
            <v>0</v>
          </cell>
          <cell r="U393" t="str">
            <v>13/12/2011 - DELISGADO</v>
          </cell>
          <cell r="W393" t="str">
            <v>I</v>
          </cell>
        </row>
        <row r="394">
          <cell r="A394">
            <v>1436</v>
          </cell>
          <cell r="B394" t="str">
            <v>LOJA CAMAQUA - RS</v>
          </cell>
          <cell r="C394">
            <v>10656</v>
          </cell>
          <cell r="D394" t="str">
            <v>VIVIANE FAGUNDES DE MELLO</v>
          </cell>
          <cell r="E394">
            <v>763</v>
          </cell>
          <cell r="F394" t="str">
            <v>ADRIELE DA SILVA SOUZA</v>
          </cell>
          <cell r="G394">
            <v>40858</v>
          </cell>
          <cell r="H394" t="str">
            <v>AVENIDA OLAVO MORAES, 798 - LOJA A</v>
          </cell>
          <cell r="I394" t="str">
            <v>CENTRO</v>
          </cell>
          <cell r="J394" t="str">
            <v>96780-070</v>
          </cell>
          <cell r="K394">
            <v>125</v>
          </cell>
          <cell r="L394" t="str">
            <v>RS</v>
          </cell>
          <cell r="M394" t="str">
            <v>5135008569</v>
          </cell>
          <cell r="N394">
            <v>111</v>
          </cell>
          <cell r="O394" t="str">
            <v>5135008569</v>
          </cell>
          <cell r="P394" t="str">
            <v>guilherme.marques@factalojas.com.br</v>
          </cell>
          <cell r="Q394" t="str">
            <v>viviane.mello@facta.com.br</v>
          </cell>
          <cell r="S394" t="str">
            <v>loja1436@factalojas.com.br</v>
          </cell>
          <cell r="T394" t="str">
            <v>CAMAQUA</v>
          </cell>
          <cell r="U394" t="str">
            <v xml:space="preserve">_x000D_
</v>
          </cell>
          <cell r="W394" t="str">
            <v>A</v>
          </cell>
        </row>
        <row r="395">
          <cell r="A395">
            <v>1437</v>
          </cell>
          <cell r="B395" t="str">
            <v>LOJA MONTENEGRO - RS</v>
          </cell>
          <cell r="C395">
            <v>3802</v>
          </cell>
          <cell r="D395" t="str">
            <v>THAMIRES IZIDORO DO NASCIMENTO SILVA</v>
          </cell>
          <cell r="E395">
            <v>763</v>
          </cell>
          <cell r="F395" t="str">
            <v>ADRIELE DA SILVA SOUZA</v>
          </cell>
          <cell r="G395">
            <v>40858</v>
          </cell>
          <cell r="H395" t="str">
            <v>AV.RAMIRO BARCELOS Nº 1545 - SL 104</v>
          </cell>
          <cell r="I395" t="str">
            <v>CENTRO</v>
          </cell>
          <cell r="J395" t="str">
            <v>95780-000</v>
          </cell>
          <cell r="K395">
            <v>9</v>
          </cell>
          <cell r="L395" t="str">
            <v>RS</v>
          </cell>
          <cell r="M395" t="str">
            <v>5136491644</v>
          </cell>
          <cell r="N395">
            <v>115</v>
          </cell>
          <cell r="O395" t="str">
            <v>5136491644</v>
          </cell>
          <cell r="P395" t="str">
            <v>leonardo.paim@factalojas.com.br</v>
          </cell>
          <cell r="Q395" t="str">
            <v>leonardo.paim@factalojas.com.br</v>
          </cell>
          <cell r="S395" t="str">
            <v>leonardo.paim@factalojas.com.br</v>
          </cell>
          <cell r="T395" t="str">
            <v>1437</v>
          </cell>
          <cell r="U395" t="str">
            <v/>
          </cell>
          <cell r="W395" t="str">
            <v>A</v>
          </cell>
        </row>
        <row r="396">
          <cell r="A396">
            <v>1438</v>
          </cell>
          <cell r="B396" t="str">
            <v>LOJA GUAIBA 2 - RS</v>
          </cell>
          <cell r="C396">
            <v>0</v>
          </cell>
          <cell r="E396">
            <v>0</v>
          </cell>
          <cell r="G396">
            <v>40858</v>
          </cell>
          <cell r="H396" t="str">
            <v>RUA CÔNEGO ESTANISLAU SCHERER, 556</v>
          </cell>
          <cell r="I396" t="str">
            <v>CENTRO</v>
          </cell>
          <cell r="J396" t="str">
            <v>92500000</v>
          </cell>
          <cell r="K396">
            <v>79</v>
          </cell>
          <cell r="L396" t="str">
            <v>RS</v>
          </cell>
          <cell r="M396" t="str">
            <v xml:space="preserve">5134800078 </v>
          </cell>
          <cell r="N396">
            <v>299</v>
          </cell>
          <cell r="O396" t="str">
            <v xml:space="preserve">5134800078 </v>
          </cell>
          <cell r="P396" t="str">
            <v>loja1438@facta.com.br</v>
          </cell>
          <cell r="Q396" t="str">
            <v>aline.vilella@facta.com.br</v>
          </cell>
          <cell r="T396" t="str">
            <v>LOJA1438</v>
          </cell>
          <cell r="U396" t="str">
            <v/>
          </cell>
          <cell r="W396" t="str">
            <v>I</v>
          </cell>
        </row>
        <row r="397">
          <cell r="A397">
            <v>1439</v>
          </cell>
          <cell r="B397" t="str">
            <v>LOJA PORTAO - RS</v>
          </cell>
          <cell r="C397">
            <v>3802</v>
          </cell>
          <cell r="D397" t="str">
            <v>THAMIRES IZIDORO DO NASCIMENTO SILVA</v>
          </cell>
          <cell r="E397">
            <v>763</v>
          </cell>
          <cell r="F397" t="str">
            <v>ADRIELE DA SILVA SOUZA</v>
          </cell>
          <cell r="G397">
            <v>40858</v>
          </cell>
          <cell r="H397" t="str">
            <v xml:space="preserve">ROD RS 240 , 3526 - SL 05 (RODOCENTER) </v>
          </cell>
          <cell r="I397" t="str">
            <v>CENTRO</v>
          </cell>
          <cell r="J397" t="str">
            <v>93180-000</v>
          </cell>
          <cell r="K397">
            <v>6948880</v>
          </cell>
          <cell r="L397" t="str">
            <v>RS</v>
          </cell>
          <cell r="M397" t="str">
            <v>5135623364</v>
          </cell>
          <cell r="N397">
            <v>112</v>
          </cell>
          <cell r="O397" t="str">
            <v>5135623364</v>
          </cell>
          <cell r="P397" t="str">
            <v>alex.macedo@factalojas.com.br</v>
          </cell>
          <cell r="Q397" t="str">
            <v>alex.macedo@factalojas.com.br</v>
          </cell>
          <cell r="S397" t="str">
            <v>loja1439@factalojas.com.br;alex.macedo@factalojas.com.br</v>
          </cell>
          <cell r="T397" t="str">
            <v>1439</v>
          </cell>
          <cell r="U397" t="str">
            <v xml:space="preserve">_x000D_
</v>
          </cell>
          <cell r="W397" t="str">
            <v>A</v>
          </cell>
        </row>
        <row r="398">
          <cell r="A398">
            <v>1435</v>
          </cell>
          <cell r="B398" t="str">
            <v>LOJA BUTIA - RS</v>
          </cell>
          <cell r="C398">
            <v>3483</v>
          </cell>
          <cell r="D398" t="str">
            <v>LARISSA OLIVEIRA BARBOZA</v>
          </cell>
          <cell r="E398">
            <v>763</v>
          </cell>
          <cell r="F398" t="str">
            <v>ADRIELE DA SILVA SOUZA</v>
          </cell>
          <cell r="G398">
            <v>40856</v>
          </cell>
          <cell r="H398" t="str">
            <v>AV. LEANDRO DE ALMEIDA, 622</v>
          </cell>
          <cell r="I398" t="str">
            <v>CENTRO</v>
          </cell>
          <cell r="J398" t="str">
            <v>96750-000</v>
          </cell>
          <cell r="K398">
            <v>81</v>
          </cell>
          <cell r="L398" t="str">
            <v>RS</v>
          </cell>
          <cell r="M398" t="str">
            <v>5135008502</v>
          </cell>
          <cell r="N398">
            <v>110</v>
          </cell>
          <cell r="O398" t="str">
            <v>5135008502</v>
          </cell>
          <cell r="P398" t="str">
            <v>evandro.braga@factalojas.com.br</v>
          </cell>
          <cell r="Q398" t="str">
            <v>larissa.barboza@facta.com.br</v>
          </cell>
          <cell r="S398" t="str">
            <v>loja1435@factalojas.com.br;larissa.barboza@facta.com.br</v>
          </cell>
          <cell r="T398" t="str">
            <v>BUTIA</v>
          </cell>
          <cell r="U398" t="str">
            <v xml:space="preserve">_x000D_
</v>
          </cell>
          <cell r="W398" t="str">
            <v>A</v>
          </cell>
        </row>
        <row r="399">
          <cell r="A399">
            <v>8205</v>
          </cell>
          <cell r="B399" t="str">
            <v>LOJA PE - JOSE PEDRO LIMA DE ANDRADE</v>
          </cell>
          <cell r="E399">
            <v>95</v>
          </cell>
          <cell r="F399" t="str">
            <v>SILVANA DE FATIMA CENCI</v>
          </cell>
          <cell r="G399">
            <v>40830</v>
          </cell>
          <cell r="H399" t="str">
            <v>AV. SIQUEIRA CAMPOS, 251 - TERREO</v>
          </cell>
          <cell r="I399" t="str">
            <v>SANTO ANTONIO</v>
          </cell>
          <cell r="K399">
            <v>617</v>
          </cell>
          <cell r="L399" t="str">
            <v>PE</v>
          </cell>
          <cell r="N399">
            <v>0</v>
          </cell>
          <cell r="P399" t="str">
            <v>jose.pedro@factaemprestimos.com.br</v>
          </cell>
          <cell r="Q399" t="str">
            <v/>
          </cell>
          <cell r="U399" t="str">
            <v>DIA DE SAIDA EM 12/04/2012 - DATA DESL 29/03/2012</v>
          </cell>
          <cell r="W399" t="str">
            <v>I</v>
          </cell>
        </row>
        <row r="400">
          <cell r="A400">
            <v>2800</v>
          </cell>
          <cell r="B400" t="str">
            <v xml:space="preserve">LOJA CHAPECO </v>
          </cell>
          <cell r="E400">
            <v>1164</v>
          </cell>
          <cell r="F400" t="str">
            <v>DAIANA FINKENAUER</v>
          </cell>
          <cell r="G400">
            <v>40809</v>
          </cell>
          <cell r="H400" t="str">
            <v>RUA MAL. JOSÉ B. BORMANN - D - N°82  - SALA:19</v>
          </cell>
          <cell r="I400" t="str">
            <v>CENTRO</v>
          </cell>
          <cell r="J400" t="str">
            <v>89801-050</v>
          </cell>
          <cell r="K400">
            <v>416</v>
          </cell>
          <cell r="L400" t="str">
            <v>SC</v>
          </cell>
          <cell r="M400" t="str">
            <v xml:space="preserve">4933120243 </v>
          </cell>
          <cell r="N400">
            <v>621</v>
          </cell>
          <cell r="O400" t="str">
            <v xml:space="preserve">4933120243 </v>
          </cell>
          <cell r="P400" t="str">
            <v>loja2800@factaemprestimos.com.br</v>
          </cell>
          <cell r="T400" t="str">
            <v>LOJA2800</v>
          </cell>
          <cell r="W400" t="str">
            <v>I</v>
          </cell>
        </row>
        <row r="401">
          <cell r="A401">
            <v>1433</v>
          </cell>
          <cell r="B401" t="str">
            <v>LOJA OSORIO - RS</v>
          </cell>
          <cell r="C401">
            <v>0</v>
          </cell>
          <cell r="E401">
            <v>0</v>
          </cell>
          <cell r="G401">
            <v>40792</v>
          </cell>
          <cell r="H401" t="str">
            <v>AV GETULIO VARGAS, 940</v>
          </cell>
          <cell r="I401" t="str">
            <v>CENTRO</v>
          </cell>
          <cell r="J401" t="str">
            <v>95520-000</v>
          </cell>
          <cell r="K401">
            <v>44</v>
          </cell>
          <cell r="L401" t="str">
            <v>RS</v>
          </cell>
          <cell r="M401" t="str">
            <v xml:space="preserve">5136631360 </v>
          </cell>
          <cell r="N401">
            <v>98</v>
          </cell>
          <cell r="O401" t="str">
            <v xml:space="preserve">5136631360 </v>
          </cell>
          <cell r="P401" t="str">
            <v>loja1433@facta.com.br</v>
          </cell>
          <cell r="Q401" t="str">
            <v>0</v>
          </cell>
          <cell r="T401" t="str">
            <v>OSORIO</v>
          </cell>
          <cell r="W401" t="str">
            <v>I</v>
          </cell>
        </row>
        <row r="402">
          <cell r="A402">
            <v>8204</v>
          </cell>
          <cell r="B402" t="str">
            <v>LOJA PE - DANIELLA KARLA ALVES MONTEIRO</v>
          </cell>
          <cell r="E402">
            <v>95</v>
          </cell>
          <cell r="F402" t="str">
            <v>SILVANA DE FATIMA CENCI</v>
          </cell>
          <cell r="G402">
            <v>40767</v>
          </cell>
          <cell r="H402" t="str">
            <v>AV. SIQUEIRA CAMPOS, 251 - TERREO</v>
          </cell>
          <cell r="I402" t="str">
            <v>SANTO ANTONIO</v>
          </cell>
          <cell r="K402">
            <v>617</v>
          </cell>
          <cell r="L402" t="str">
            <v>PE</v>
          </cell>
          <cell r="N402">
            <v>0</v>
          </cell>
          <cell r="U402" t="str">
            <v>PASSOU PARA O OPERACIONAL</v>
          </cell>
          <cell r="W402" t="str">
            <v>I</v>
          </cell>
        </row>
        <row r="403">
          <cell r="A403">
            <v>1434</v>
          </cell>
          <cell r="B403" t="str">
            <v>LOJA CACHOEIRINHA - RS</v>
          </cell>
          <cell r="C403">
            <v>3483</v>
          </cell>
          <cell r="D403" t="str">
            <v>LARISSA OLIVEIRA BARBOZA</v>
          </cell>
          <cell r="E403">
            <v>763</v>
          </cell>
          <cell r="F403" t="str">
            <v>ADRIELE DA SILVA SOUZA</v>
          </cell>
          <cell r="G403">
            <v>40751</v>
          </cell>
          <cell r="H403" t="str">
            <v>R EURIPEDES AURELIO DA SILVA, 12 - LJ 04</v>
          </cell>
          <cell r="I403" t="str">
            <v>CENTRO</v>
          </cell>
          <cell r="J403" t="str">
            <v>94920-250</v>
          </cell>
          <cell r="K403">
            <v>33</v>
          </cell>
          <cell r="L403" t="str">
            <v>RS</v>
          </cell>
          <cell r="M403" t="str">
            <v>5134703991</v>
          </cell>
          <cell r="N403">
            <v>609</v>
          </cell>
          <cell r="O403" t="str">
            <v>5134703991</v>
          </cell>
          <cell r="P403" t="str">
            <v>rogerio.luckaszebski@factalojas.com.br</v>
          </cell>
          <cell r="Q403" t="str">
            <v>loja1434@factalojas.com.br;rogerio.luckaszebski@factalojas.com.br</v>
          </cell>
          <cell r="S403" t="str">
            <v>loja1434@factalojas.com.br;rogerio.luckaszebski@factalojas.com.br</v>
          </cell>
          <cell r="T403" t="str">
            <v>LOJA1434</v>
          </cell>
          <cell r="U403" t="str">
            <v/>
          </cell>
          <cell r="W403" t="str">
            <v>A</v>
          </cell>
        </row>
        <row r="404">
          <cell r="A404">
            <v>1432</v>
          </cell>
          <cell r="B404" t="str">
            <v>LOJA GRAVATAI - RS</v>
          </cell>
          <cell r="C404">
            <v>3483</v>
          </cell>
          <cell r="D404" t="str">
            <v>LARISSA OLIVEIRA BARBOZA</v>
          </cell>
          <cell r="E404">
            <v>763</v>
          </cell>
          <cell r="F404" t="str">
            <v>ADRIELE DA SILVA SOUZA</v>
          </cell>
          <cell r="G404">
            <v>40738</v>
          </cell>
          <cell r="H404" t="str">
            <v xml:space="preserve"> RUA CORONEL FONSECA, 772</v>
          </cell>
          <cell r="I404" t="str">
            <v>CENTRO</v>
          </cell>
          <cell r="J404" t="str">
            <v>94010-190</v>
          </cell>
          <cell r="K404">
            <v>34</v>
          </cell>
          <cell r="L404" t="str">
            <v>RS</v>
          </cell>
          <cell r="M404" t="str">
            <v>5139336144</v>
          </cell>
          <cell r="N404">
            <v>86</v>
          </cell>
          <cell r="O404" t="str">
            <v>5139336144</v>
          </cell>
          <cell r="P404" t="str">
            <v>kamila.mattos@factalojas.com.br</v>
          </cell>
          <cell r="Q404" t="str">
            <v>kamila.mattos@factalojas.com.br;larissa.barboza@facta.com.br</v>
          </cell>
          <cell r="S404" t="str">
            <v>kamila.mattos@factalojas.com.br;larissa.barboza@facta.com.br</v>
          </cell>
          <cell r="T404" t="str">
            <v>LOJA1432</v>
          </cell>
          <cell r="U404" t="str">
            <v>END ALTERADO EM 7/8/12</v>
          </cell>
          <cell r="W404" t="str">
            <v>A</v>
          </cell>
        </row>
        <row r="405">
          <cell r="A405">
            <v>1431</v>
          </cell>
          <cell r="B405" t="str">
            <v>LOJA SANTANA DO LIVRAMENTO</v>
          </cell>
          <cell r="E405">
            <v>7068</v>
          </cell>
          <cell r="F405" t="str">
            <v>CLEBER ROBERTO BARBOSA DOS SANTOS</v>
          </cell>
          <cell r="G405">
            <v>40721</v>
          </cell>
          <cell r="H405" t="str">
            <v>RUA RIVADAVIA CORREA  530</v>
          </cell>
          <cell r="I405" t="str">
            <v>CENTRO</v>
          </cell>
          <cell r="J405" t="str">
            <v>97573010</v>
          </cell>
          <cell r="K405">
            <v>26</v>
          </cell>
          <cell r="L405" t="str">
            <v>RS</v>
          </cell>
          <cell r="M405" t="str">
            <v xml:space="preserve">5532415780 </v>
          </cell>
          <cell r="N405">
            <v>156</v>
          </cell>
          <cell r="O405" t="str">
            <v xml:space="preserve">5532415780 </v>
          </cell>
          <cell r="P405" t="str">
            <v>loja1431@factaemprestimos.com.br</v>
          </cell>
          <cell r="Q405" t="str">
            <v>0</v>
          </cell>
          <cell r="T405" t="str">
            <v>1431</v>
          </cell>
          <cell r="U405" t="str">
            <v xml:space="preserve"> Inativado por solicitação Clebert 234567</v>
          </cell>
          <cell r="W405" t="str">
            <v>I</v>
          </cell>
        </row>
        <row r="406">
          <cell r="A406">
            <v>30915</v>
          </cell>
          <cell r="B406" t="str">
            <v>CALL CENTER PR - DAIANA HAAS MACHADO</v>
          </cell>
          <cell r="E406">
            <v>7068</v>
          </cell>
          <cell r="F406" t="str">
            <v>CLEBER ROBERTO BARBOSA DOS SANTOS</v>
          </cell>
          <cell r="G406">
            <v>40710</v>
          </cell>
          <cell r="K406">
            <v>251</v>
          </cell>
          <cell r="L406" t="str">
            <v>PR</v>
          </cell>
          <cell r="N406">
            <v>0</v>
          </cell>
          <cell r="W406" t="str">
            <v>I</v>
          </cell>
        </row>
        <row r="407">
          <cell r="A407">
            <v>5559</v>
          </cell>
          <cell r="B407" t="str">
            <v>LOJA SÃO PAULO - PRAIA GRANDE</v>
          </cell>
          <cell r="E407">
            <v>7068</v>
          </cell>
          <cell r="F407" t="str">
            <v>CLEBER ROBERTO BARBOSA DOS SANTOS</v>
          </cell>
          <cell r="G407">
            <v>40697</v>
          </cell>
          <cell r="H407" t="str">
            <v>AV. VICENTE DE CARVALHO, Nº.629 SALA 1 E 2</v>
          </cell>
          <cell r="I407" t="str">
            <v>6883429</v>
          </cell>
          <cell r="K407">
            <v>6883429</v>
          </cell>
          <cell r="L407" t="str">
            <v>SP</v>
          </cell>
          <cell r="N407">
            <v>81</v>
          </cell>
          <cell r="W407" t="str">
            <v>I</v>
          </cell>
        </row>
        <row r="408">
          <cell r="A408">
            <v>8203</v>
          </cell>
          <cell r="B408" t="str">
            <v>LOJA PE - LILIAN FERREIRA DA SILVA</v>
          </cell>
          <cell r="E408">
            <v>95</v>
          </cell>
          <cell r="F408" t="str">
            <v>SILVANA DE FATIMA CENCI</v>
          </cell>
          <cell r="G408">
            <v>40694</v>
          </cell>
          <cell r="H408" t="str">
            <v>AV. SIQUEIRA CAMPOS, 251 - TERREO</v>
          </cell>
          <cell r="I408" t="str">
            <v>SANTO ANTONIO</v>
          </cell>
          <cell r="K408">
            <v>617</v>
          </cell>
          <cell r="L408" t="str">
            <v>PE</v>
          </cell>
          <cell r="N408">
            <v>0</v>
          </cell>
          <cell r="P408" t="str">
            <v/>
          </cell>
          <cell r="U408" t="str">
            <v>30/04/2012 - ALMOX</v>
          </cell>
          <cell r="W408" t="str">
            <v>I</v>
          </cell>
        </row>
        <row r="409">
          <cell r="A409">
            <v>8200</v>
          </cell>
          <cell r="B409" t="str">
            <v>CENTRAL DE VENDAS PE</v>
          </cell>
          <cell r="E409">
            <v>5452</v>
          </cell>
          <cell r="F409" t="str">
            <v>CRISTIANE CARVALHO GEBELATTO</v>
          </cell>
          <cell r="G409">
            <v>40690</v>
          </cell>
          <cell r="H409" t="str">
            <v>DUQUE DE CAXIAS N191</v>
          </cell>
          <cell r="I409" t="str">
            <v>SANTO ANTONIO</v>
          </cell>
          <cell r="J409" t="str">
            <v>50010-290</v>
          </cell>
          <cell r="K409">
            <v>617</v>
          </cell>
          <cell r="L409" t="str">
            <v>PE</v>
          </cell>
          <cell r="M409" t="str">
            <v xml:space="preserve">8130364529 </v>
          </cell>
          <cell r="N409">
            <v>49</v>
          </cell>
          <cell r="O409" t="str">
            <v xml:space="preserve">8130364529 </v>
          </cell>
          <cell r="P409" t="str">
            <v>cristiane.nunes@facta.com.br</v>
          </cell>
          <cell r="Q409" t="str">
            <v>ana.menezes@facta.com.br</v>
          </cell>
          <cell r="T409" t="str">
            <v>vendaspe</v>
          </cell>
          <cell r="W409" t="str">
            <v>I</v>
          </cell>
        </row>
        <row r="410">
          <cell r="A410">
            <v>8201</v>
          </cell>
          <cell r="B410" t="str">
            <v>LOJA PE - IRIS FERNANDA DE AZEVEDO</v>
          </cell>
          <cell r="E410">
            <v>95</v>
          </cell>
          <cell r="F410" t="str">
            <v>SILVANA DE FATIMA CENCI</v>
          </cell>
          <cell r="G410">
            <v>40690</v>
          </cell>
          <cell r="H410" t="str">
            <v>AV. SIQUEIRA CAMPOS, 251 - TERREO</v>
          </cell>
          <cell r="I410" t="str">
            <v>SANTO ANTONIO</v>
          </cell>
          <cell r="K410">
            <v>617</v>
          </cell>
          <cell r="L410" t="str">
            <v>PE</v>
          </cell>
          <cell r="N410">
            <v>0</v>
          </cell>
          <cell r="P410" t="str">
            <v/>
          </cell>
          <cell r="W410" t="str">
            <v>I</v>
          </cell>
        </row>
        <row r="411">
          <cell r="A411">
            <v>8202</v>
          </cell>
          <cell r="B411" t="str">
            <v>LOJA PE - IVELINE FELIX DA COSTA</v>
          </cell>
          <cell r="E411">
            <v>1513</v>
          </cell>
          <cell r="F411" t="str">
            <v>ALECSANDRA CHAVES BALBINO</v>
          </cell>
          <cell r="G411">
            <v>40690</v>
          </cell>
          <cell r="H411" t="str">
            <v>AV. SIQUEIRA CAMPOS, 251 - TERREO</v>
          </cell>
          <cell r="I411" t="str">
            <v>SANTO ANTONIO</v>
          </cell>
          <cell r="K411">
            <v>617</v>
          </cell>
          <cell r="L411" t="str">
            <v>PE</v>
          </cell>
          <cell r="N411">
            <v>75</v>
          </cell>
          <cell r="P411" t="str">
            <v>iveline.felix@factaemprestimos.com.br</v>
          </cell>
          <cell r="Q411" t="str">
            <v>silvana@factaemprestimos.com.br</v>
          </cell>
          <cell r="T411" t="str">
            <v>IVELINE</v>
          </cell>
          <cell r="U411" t="str">
            <v>inat a pedido de Silvana 25/07/13</v>
          </cell>
          <cell r="W411" t="str">
            <v>I</v>
          </cell>
        </row>
        <row r="412">
          <cell r="A412">
            <v>5506</v>
          </cell>
          <cell r="B412" t="str">
            <v>LOJA SAO PAULO - PENHA - SP</v>
          </cell>
          <cell r="C412">
            <v>6253</v>
          </cell>
          <cell r="D412" t="str">
            <v>MIRIAM DE SALLES BARBIERI</v>
          </cell>
          <cell r="E412">
            <v>3826</v>
          </cell>
          <cell r="F412" t="str">
            <v>CINARA REGINA KEMERICH</v>
          </cell>
          <cell r="G412">
            <v>40618</v>
          </cell>
          <cell r="H412" t="str">
            <v>RUA: PADRE JOÃO,  257</v>
          </cell>
          <cell r="I412" t="str">
            <v>PENHA</v>
          </cell>
          <cell r="J412" t="str">
            <v>03637-000</v>
          </cell>
          <cell r="K412">
            <v>442</v>
          </cell>
          <cell r="L412" t="str">
            <v>SP</v>
          </cell>
          <cell r="M412" t="str">
            <v>1135390609</v>
          </cell>
          <cell r="N412">
            <v>85</v>
          </cell>
          <cell r="O412" t="str">
            <v>1135390609</v>
          </cell>
          <cell r="P412" t="str">
            <v>vanessa.araujo@factalojas.com.br</v>
          </cell>
          <cell r="Q412" t="str">
            <v>miriam.barbieri@facta.com.br</v>
          </cell>
          <cell r="S412" t="str">
            <v>loja5506@facta.com.br</v>
          </cell>
          <cell r="T412" t="str">
            <v>loja_5506</v>
          </cell>
          <cell r="U412" t="str">
            <v/>
          </cell>
          <cell r="W412" t="str">
            <v>A</v>
          </cell>
        </row>
        <row r="413">
          <cell r="A413">
            <v>1429</v>
          </cell>
          <cell r="B413" t="str">
            <v>LOJA IVOTI</v>
          </cell>
          <cell r="C413">
            <v>0</v>
          </cell>
          <cell r="E413">
            <v>2141</v>
          </cell>
          <cell r="F413" t="str">
            <v>ALINE VILELLA</v>
          </cell>
          <cell r="G413">
            <v>40613</v>
          </cell>
          <cell r="H413" t="str">
            <v>AV. PRESIDENTE LUCENA, 3092 - SL 03</v>
          </cell>
          <cell r="I413" t="str">
            <v>CENTRO</v>
          </cell>
          <cell r="J413" t="str">
            <v>93900-000</v>
          </cell>
          <cell r="K413">
            <v>243</v>
          </cell>
          <cell r="L413" t="str">
            <v>RS</v>
          </cell>
          <cell r="M413" t="str">
            <v>05135636947</v>
          </cell>
          <cell r="N413">
            <v>114</v>
          </cell>
          <cell r="O413" t="str">
            <v>05135636947</v>
          </cell>
          <cell r="P413" t="str">
            <v>loja1429@factaemprestimos.com.br</v>
          </cell>
          <cell r="Q413" t="str">
            <v>0</v>
          </cell>
          <cell r="T413" t="str">
            <v>1429</v>
          </cell>
          <cell r="W413" t="str">
            <v>I</v>
          </cell>
        </row>
        <row r="414">
          <cell r="A414">
            <v>5504</v>
          </cell>
          <cell r="B414" t="str">
            <v>LOJA ITAQUAQUECETUBA - SP</v>
          </cell>
          <cell r="C414">
            <v>6253</v>
          </cell>
          <cell r="D414" t="str">
            <v>MIRIAM DE SALLES BARBIERI</v>
          </cell>
          <cell r="E414">
            <v>3826</v>
          </cell>
          <cell r="F414" t="str">
            <v>CINARA REGINA KEMERICH</v>
          </cell>
          <cell r="G414">
            <v>40605</v>
          </cell>
          <cell r="H414" t="str">
            <v>RUA SEBASTIÃO FERREIRA DOS SANTOS Nº 102, SALA 04</v>
          </cell>
          <cell r="I414" t="str">
            <v>CENTRO</v>
          </cell>
          <cell r="J414" t="str">
            <v>08570-060</v>
          </cell>
          <cell r="K414">
            <v>25302</v>
          </cell>
          <cell r="L414" t="str">
            <v>SP</v>
          </cell>
          <cell r="M414" t="str">
            <v>1146373068</v>
          </cell>
          <cell r="N414">
            <v>82</v>
          </cell>
          <cell r="O414" t="str">
            <v>1146373068</v>
          </cell>
          <cell r="P414" t="str">
            <v>fabiana.primo@factalojas.com.br</v>
          </cell>
          <cell r="Q414" t="str">
            <v>loja5504@factalojas.com.br</v>
          </cell>
          <cell r="S414" t="str">
            <v>loja5504@factalojas.com.br</v>
          </cell>
          <cell r="T414" t="str">
            <v>LOJA5504</v>
          </cell>
          <cell r="U414" t="str">
            <v/>
          </cell>
          <cell r="W414" t="str">
            <v>A</v>
          </cell>
        </row>
        <row r="415">
          <cell r="A415">
            <v>5503</v>
          </cell>
          <cell r="B415" t="str">
            <v>LOJA PRAIA GRANDE - SP</v>
          </cell>
          <cell r="C415">
            <v>95</v>
          </cell>
          <cell r="D415" t="str">
            <v>SILVANA DE FATIMA CENCI</v>
          </cell>
          <cell r="E415">
            <v>3826</v>
          </cell>
          <cell r="F415" t="str">
            <v>CINARA REGINA KEMERICH</v>
          </cell>
          <cell r="G415">
            <v>40512</v>
          </cell>
          <cell r="H415" t="str">
            <v>RUA DR VICENTE DE CARVALHO, 531 LOJA 4</v>
          </cell>
          <cell r="I415" t="str">
            <v>OCIAN</v>
          </cell>
          <cell r="J415" t="str">
            <v>11704-300</v>
          </cell>
          <cell r="K415">
            <v>6883429</v>
          </cell>
          <cell r="L415" t="str">
            <v>SP</v>
          </cell>
          <cell r="M415" t="str">
            <v>1330344005</v>
          </cell>
          <cell r="N415">
            <v>81</v>
          </cell>
          <cell r="O415" t="str">
            <v>1330344005</v>
          </cell>
          <cell r="P415" t="str">
            <v>leticia.neves@factalojas.com.br</v>
          </cell>
          <cell r="Q415" t="str">
            <v>leticia.neves@factalojas.com.br</v>
          </cell>
          <cell r="S415" t="str">
            <v>loja5503@factalojas.com.br</v>
          </cell>
          <cell r="T415" t="str">
            <v>SP5503</v>
          </cell>
          <cell r="U415" t="str">
            <v>DADOS BANC ALTERADOS EM 07/11/13</v>
          </cell>
          <cell r="W415" t="str">
            <v>A</v>
          </cell>
        </row>
        <row r="416">
          <cell r="A416">
            <v>1428</v>
          </cell>
          <cell r="B416" t="str">
            <v>LOJA ALVORADA (BANCO DO BRASIL)</v>
          </cell>
          <cell r="C416">
            <v>0</v>
          </cell>
          <cell r="E416">
            <v>7068</v>
          </cell>
          <cell r="F416" t="str">
            <v>CLEBER ROBERTO BARBOSA DOS SANTOS</v>
          </cell>
          <cell r="G416">
            <v>40504</v>
          </cell>
          <cell r="H416" t="str">
            <v xml:space="preserve">AV. PRESIDENTE GETULIO VARGAS, 1500 </v>
          </cell>
          <cell r="I416" t="str">
            <v>CENTRO</v>
          </cell>
          <cell r="J416" t="str">
            <v>94810-000</v>
          </cell>
          <cell r="K416">
            <v>30</v>
          </cell>
          <cell r="L416" t="str">
            <v>RS</v>
          </cell>
          <cell r="M416" t="str">
            <v xml:space="preserve">5184135475 </v>
          </cell>
          <cell r="N416">
            <v>165</v>
          </cell>
          <cell r="O416" t="str">
            <v xml:space="preserve">5184135475 </v>
          </cell>
          <cell r="P416" t="str">
            <v>0</v>
          </cell>
          <cell r="Q416" t="str">
            <v>0</v>
          </cell>
          <cell r="W416" t="str">
            <v>I</v>
          </cell>
        </row>
        <row r="417">
          <cell r="A417">
            <v>11900</v>
          </cell>
          <cell r="B417" t="str">
            <v>LOJA VITORIA - ES</v>
          </cell>
          <cell r="C417">
            <v>3467</v>
          </cell>
          <cell r="D417" t="str">
            <v>GISELLE MORAES SCHNEIDER</v>
          </cell>
          <cell r="E417">
            <v>6621</v>
          </cell>
          <cell r="F417" t="str">
            <v>THAYSA SANDIM DE SOUZA</v>
          </cell>
          <cell r="G417">
            <v>40500</v>
          </cell>
          <cell r="H417" t="str">
            <v>RUA GONÇALVES DIAS, 20 - LOJA 02</v>
          </cell>
          <cell r="I417" t="str">
            <v>CENTRO</v>
          </cell>
          <cell r="J417" t="str">
            <v>29010-130</v>
          </cell>
          <cell r="K417">
            <v>2346</v>
          </cell>
          <cell r="L417" t="str">
            <v>ES</v>
          </cell>
          <cell r="M417" t="str">
            <v>2730229300</v>
          </cell>
          <cell r="N417">
            <v>215</v>
          </cell>
          <cell r="O417" t="str">
            <v>2730229300</v>
          </cell>
          <cell r="P417" t="str">
            <v>alexander.souza@factalojas.com.br</v>
          </cell>
          <cell r="Q417" t="str">
            <v>alexander.souza@factalojas.com.br</v>
          </cell>
          <cell r="S417" t="str">
            <v>alexander.souza@factalojas.com.br</v>
          </cell>
          <cell r="T417" t="str">
            <v>vendases</v>
          </cell>
          <cell r="U417" t="str">
            <v/>
          </cell>
          <cell r="W417" t="str">
            <v>A</v>
          </cell>
        </row>
        <row r="418">
          <cell r="A418">
            <v>5502</v>
          </cell>
          <cell r="B418" t="str">
            <v>LOJA CAMPINAS - SP</v>
          </cell>
          <cell r="C418">
            <v>10518</v>
          </cell>
          <cell r="D418" t="str">
            <v>THAINA MARCHI CONEJO</v>
          </cell>
          <cell r="E418">
            <v>3826</v>
          </cell>
          <cell r="F418" t="str">
            <v>CINARA REGINA KEMERICH</v>
          </cell>
          <cell r="G418">
            <v>40485</v>
          </cell>
          <cell r="H418" t="str">
            <v>RUA JOSÉ PAULINO Nº 753</v>
          </cell>
          <cell r="I418" t="str">
            <v>CENTRO</v>
          </cell>
          <cell r="J418" t="str">
            <v>13013-001</v>
          </cell>
          <cell r="K418">
            <v>1257</v>
          </cell>
          <cell r="L418" t="str">
            <v>SP</v>
          </cell>
          <cell r="M418" t="str">
            <v>1930459900</v>
          </cell>
          <cell r="N418">
            <v>45</v>
          </cell>
          <cell r="O418" t="str">
            <v>1930459900</v>
          </cell>
          <cell r="P418" t="str">
            <v>mylena.pinheiro@factalojas.com.br</v>
          </cell>
          <cell r="Q418" t="str">
            <v>loja5502@factalojas.com.br</v>
          </cell>
          <cell r="S418" t="str">
            <v>mylena.pinheiro@factalojas.com.br</v>
          </cell>
          <cell r="T418" t="str">
            <v>LOJA5502</v>
          </cell>
          <cell r="U418" t="str">
            <v/>
          </cell>
          <cell r="W418" t="str">
            <v>A</v>
          </cell>
        </row>
        <row r="419">
          <cell r="A419">
            <v>8399</v>
          </cell>
          <cell r="B419" t="str">
            <v>LOJA RECIFE - PE</v>
          </cell>
          <cell r="C419">
            <v>9798</v>
          </cell>
          <cell r="D419" t="str">
            <v>WHANDERSON MATHEUS ARAUJO DA COSTA</v>
          </cell>
          <cell r="E419">
            <v>5452</v>
          </cell>
          <cell r="F419" t="str">
            <v>CRISTIANE CARVALHO GEBELATTO</v>
          </cell>
          <cell r="G419">
            <v>40485</v>
          </cell>
          <cell r="H419" t="str">
            <v>RUA DUQUE DE CAXIAS 201</v>
          </cell>
          <cell r="I419" t="str">
            <v>SANTO ANTONIO</v>
          </cell>
          <cell r="J419" t="str">
            <v>50010-290</v>
          </cell>
          <cell r="K419">
            <v>617</v>
          </cell>
          <cell r="L419" t="str">
            <v>PE</v>
          </cell>
          <cell r="M419" t="str">
            <v>8130364509</v>
          </cell>
          <cell r="N419">
            <v>75</v>
          </cell>
          <cell r="O419" t="str">
            <v>8130364509</v>
          </cell>
          <cell r="P419" t="str">
            <v>marilia.brito@factalojas.com.br</v>
          </cell>
          <cell r="Q419" t="str">
            <v>loja8399@factalojas.com.br</v>
          </cell>
          <cell r="S419" t="str">
            <v>loja8399@factalojas.com.br</v>
          </cell>
          <cell r="T419" t="str">
            <v>8399</v>
          </cell>
          <cell r="U419" t="str">
            <v/>
          </cell>
          <cell r="W419" t="str">
            <v>A</v>
          </cell>
        </row>
        <row r="420">
          <cell r="A420">
            <v>5501</v>
          </cell>
          <cell r="B420" t="str">
            <v>LOJA SAO PAULO - ITAQUERA - SP</v>
          </cell>
          <cell r="C420">
            <v>6253</v>
          </cell>
          <cell r="D420" t="str">
            <v>MIRIAM DE SALLES BARBIERI</v>
          </cell>
          <cell r="E420">
            <v>3826</v>
          </cell>
          <cell r="F420" t="str">
            <v>CINARA REGINA KEMERICH</v>
          </cell>
          <cell r="G420">
            <v>40427</v>
          </cell>
          <cell r="H420" t="str">
            <v>RUA GREGORIO RAMALHO, 71</v>
          </cell>
          <cell r="I420" t="str">
            <v>ITAQUERA</v>
          </cell>
          <cell r="J420" t="str">
            <v>08210-430</v>
          </cell>
          <cell r="K420">
            <v>442</v>
          </cell>
          <cell r="L420" t="str">
            <v>SP</v>
          </cell>
          <cell r="M420" t="str">
            <v>1399178111</v>
          </cell>
          <cell r="N420">
            <v>44</v>
          </cell>
          <cell r="O420" t="str">
            <v>1399178111</v>
          </cell>
          <cell r="P420" t="str">
            <v>tayna.santos@factalojas.com.br</v>
          </cell>
          <cell r="Q420" t="str">
            <v>miriam.barbieri@facta.com.br</v>
          </cell>
          <cell r="S420" t="str">
            <v>loja5501@factalojas.com.br</v>
          </cell>
          <cell r="T420" t="str">
            <v>SP5501</v>
          </cell>
          <cell r="U420" t="str">
            <v xml:space="preserve">_x000D_
</v>
          </cell>
          <cell r="W420" t="str">
            <v>A</v>
          </cell>
        </row>
        <row r="421">
          <cell r="A421">
            <v>5500</v>
          </cell>
          <cell r="B421" t="str">
            <v>LOJA SAO PAULO - LAPA - SP</v>
          </cell>
          <cell r="C421">
            <v>0</v>
          </cell>
          <cell r="E421">
            <v>0</v>
          </cell>
          <cell r="G421">
            <v>40415</v>
          </cell>
          <cell r="H421" t="str">
            <v>RUA NOSSA SENHORA DA LAPA 685</v>
          </cell>
          <cell r="I421" t="str">
            <v>LAPA</v>
          </cell>
          <cell r="J421" t="str">
            <v>05072-000</v>
          </cell>
          <cell r="K421">
            <v>442</v>
          </cell>
          <cell r="L421" t="str">
            <v>SP</v>
          </cell>
          <cell r="M421" t="str">
            <v xml:space="preserve">1138310691 </v>
          </cell>
          <cell r="N421">
            <v>262</v>
          </cell>
          <cell r="O421" t="str">
            <v xml:space="preserve">1138310691 </v>
          </cell>
          <cell r="P421" t="str">
            <v>ana.silva@facta.com.br</v>
          </cell>
          <cell r="Q421" t="str">
            <v>ana.silva@facta.com.br</v>
          </cell>
          <cell r="S421" t="str">
            <v>loja5500@facta.com.br</v>
          </cell>
          <cell r="T421" t="str">
            <v>LOJA5500</v>
          </cell>
          <cell r="W421" t="str">
            <v>I</v>
          </cell>
        </row>
        <row r="422">
          <cell r="A422">
            <v>7001</v>
          </cell>
          <cell r="B422" t="str">
            <v>TESTEFILIALBA</v>
          </cell>
          <cell r="E422">
            <v>0</v>
          </cell>
          <cell r="G422">
            <v>40294</v>
          </cell>
          <cell r="H422" t="str">
            <v>RUA ESTADOS UNIDOS, 397 -SALAS 601, 602, 603 E 604</v>
          </cell>
          <cell r="I422" t="str">
            <v>COMÉRCIO</v>
          </cell>
          <cell r="J422" t="str">
            <v>40010-906</v>
          </cell>
          <cell r="K422">
            <v>1002</v>
          </cell>
          <cell r="L422" t="str">
            <v>BA</v>
          </cell>
          <cell r="M422" t="str">
            <v/>
          </cell>
          <cell r="N422">
            <v>0</v>
          </cell>
          <cell r="O422" t="str">
            <v/>
          </cell>
          <cell r="P422" t="str">
            <v/>
          </cell>
          <cell r="T422" t="str">
            <v>BA</v>
          </cell>
          <cell r="U422" t="str">
            <v>CÓDIGO INATIVADO CONFORME SOLICITAÇÃO DE DIEGO SIM</v>
          </cell>
          <cell r="W422" t="str">
            <v>I</v>
          </cell>
        </row>
        <row r="423">
          <cell r="A423">
            <v>1416</v>
          </cell>
          <cell r="B423" t="str">
            <v>LOJA IGREJINHA - RS</v>
          </cell>
          <cell r="C423">
            <v>7835</v>
          </cell>
          <cell r="D423" t="str">
            <v>JOSIANE DE SOUZA MONTEIRO DOS SANTOS</v>
          </cell>
          <cell r="E423">
            <v>763</v>
          </cell>
          <cell r="F423" t="str">
            <v>ADRIELE DA SILVA SOUZA</v>
          </cell>
          <cell r="G423">
            <v>40200</v>
          </cell>
          <cell r="H423" t="str">
            <v>1 DE JUNHO N 141 SALA 1</v>
          </cell>
          <cell r="I423" t="str">
            <v>CENTRO</v>
          </cell>
          <cell r="J423" t="str">
            <v>95650-000</v>
          </cell>
          <cell r="K423">
            <v>120</v>
          </cell>
          <cell r="L423" t="str">
            <v>RS</v>
          </cell>
          <cell r="M423" t="str">
            <v>5135454007</v>
          </cell>
          <cell r="N423">
            <v>631</v>
          </cell>
          <cell r="O423" t="str">
            <v>5135454007</v>
          </cell>
          <cell r="P423" t="str">
            <v>adrieli.oliveira@factalojas.com.br</v>
          </cell>
          <cell r="Q423" t="str">
            <v>loja1416@factalojas.com.br</v>
          </cell>
          <cell r="S423" t="str">
            <v>loja1416@factalojas.com.br</v>
          </cell>
          <cell r="T423" t="str">
            <v>IGREJINHA</v>
          </cell>
          <cell r="U423" t="str">
            <v>EMAIL CADASTRADO CONF SOLT PORTAL 25853</v>
          </cell>
          <cell r="W423" t="str">
            <v>A</v>
          </cell>
        </row>
        <row r="424">
          <cell r="A424">
            <v>1421</v>
          </cell>
          <cell r="B424" t="str">
            <v>LOJA ESTEIO - RS</v>
          </cell>
          <cell r="C424">
            <v>3802</v>
          </cell>
          <cell r="D424" t="str">
            <v>THAMIRES IZIDORO DO NASCIMENTO SILVA</v>
          </cell>
          <cell r="E424">
            <v>763</v>
          </cell>
          <cell r="F424" t="str">
            <v>ADRIELE DA SILVA SOUZA</v>
          </cell>
          <cell r="G424">
            <v>40184</v>
          </cell>
          <cell r="H424" t="str">
            <v>AV. PRESIDENTE VARGAS,2123</v>
          </cell>
          <cell r="I424" t="str">
            <v>CENTRO</v>
          </cell>
          <cell r="J424" t="str">
            <v>93270-580</v>
          </cell>
          <cell r="K424">
            <v>32</v>
          </cell>
          <cell r="L424" t="str">
            <v>RS</v>
          </cell>
          <cell r="M424" t="str">
            <v>5130333400</v>
          </cell>
          <cell r="N424">
            <v>630</v>
          </cell>
          <cell r="O424" t="str">
            <v>5130333400</v>
          </cell>
          <cell r="P424" t="str">
            <v>thamires.nascimento@facta.com.br</v>
          </cell>
          <cell r="Q424" t="str">
            <v>loja1421@factalojas.com.br;thamires.nascimento@facta.com.br</v>
          </cell>
          <cell r="S424" t="str">
            <v>loja1421@factalojas.com.br;thamires.nascimento@facta.com.br</v>
          </cell>
          <cell r="T424" t="str">
            <v>ESTEIO</v>
          </cell>
          <cell r="U424" t="str">
            <v/>
          </cell>
          <cell r="W424" t="str">
            <v>A</v>
          </cell>
        </row>
        <row r="425">
          <cell r="A425">
            <v>1427</v>
          </cell>
          <cell r="B425" t="str">
            <v>LOJA SANTO ANTONIO DA PATRULHA - RS</v>
          </cell>
          <cell r="C425">
            <v>7835</v>
          </cell>
          <cell r="D425" t="str">
            <v>JOSIANE DE SOUZA MONTEIRO DOS SANTOS</v>
          </cell>
          <cell r="E425">
            <v>763</v>
          </cell>
          <cell r="F425" t="str">
            <v>ADRIELE DA SILVA SOUZA</v>
          </cell>
          <cell r="G425">
            <v>40140</v>
          </cell>
          <cell r="H425" t="str">
            <v>AV.PAULO MACIEL DE MORAES 1040</v>
          </cell>
          <cell r="I425" t="str">
            <v>CENTRO</v>
          </cell>
          <cell r="J425" t="str">
            <v>95500-000</v>
          </cell>
          <cell r="K425">
            <v>60</v>
          </cell>
          <cell r="L425" t="str">
            <v>RS</v>
          </cell>
          <cell r="M425" t="str">
            <v>5136621510</v>
          </cell>
          <cell r="N425">
            <v>624</v>
          </cell>
          <cell r="O425" t="str">
            <v>5136621510</v>
          </cell>
          <cell r="P425" t="str">
            <v>loja1427@factalojas.com.br</v>
          </cell>
          <cell r="Q425" t="str">
            <v>loja1427@factalojas.com.br</v>
          </cell>
          <cell r="S425" t="str">
            <v>loja1427@factalojas.com.br</v>
          </cell>
          <cell r="T425" t="str">
            <v>SAP</v>
          </cell>
          <cell r="U425" t="str">
            <v/>
          </cell>
          <cell r="W425" t="str">
            <v>A</v>
          </cell>
        </row>
        <row r="426">
          <cell r="A426">
            <v>60900</v>
          </cell>
          <cell r="B426" t="str">
            <v>LOJA RIO DE JANEIRO - RJ</v>
          </cell>
          <cell r="C426">
            <v>10527</v>
          </cell>
          <cell r="D426" t="str">
            <v>MARIA EDUARDA DELGADO MENESES</v>
          </cell>
          <cell r="E426">
            <v>6621</v>
          </cell>
          <cell r="F426" t="str">
            <v>THAYSA SANDIM DE SOUZA</v>
          </cell>
          <cell r="G426">
            <v>40101</v>
          </cell>
          <cell r="H426" t="str">
            <v>RUA SETE DE SETEMBRO 98, LOJA H</v>
          </cell>
          <cell r="I426" t="str">
            <v>CENTRO</v>
          </cell>
          <cell r="J426" t="str">
            <v>20050-002</v>
          </cell>
          <cell r="K426">
            <v>405</v>
          </cell>
          <cell r="L426" t="str">
            <v>RJ</v>
          </cell>
          <cell r="M426" t="str">
            <v>2135259900</v>
          </cell>
          <cell r="N426">
            <v>629</v>
          </cell>
          <cell r="O426" t="str">
            <v>2135259900</v>
          </cell>
          <cell r="P426" t="str">
            <v>carolina.souza@factalojas.com.br</v>
          </cell>
          <cell r="Q426" t="str">
            <v>loja60900@factalojas.com.br;carolina.souza@factalojas.com.br</v>
          </cell>
          <cell r="S426" t="str">
            <v>loja60900@factalojas.com.br</v>
          </cell>
          <cell r="T426" t="str">
            <v>60900rj</v>
          </cell>
          <cell r="U426" t="str">
            <v/>
          </cell>
          <cell r="W426" t="str">
            <v>A</v>
          </cell>
        </row>
        <row r="427">
          <cell r="A427">
            <v>1445</v>
          </cell>
          <cell r="B427" t="str">
            <v>LOJA FLORESTA  ( BANCO DO BRASIL )</v>
          </cell>
          <cell r="C427">
            <v>0</v>
          </cell>
          <cell r="E427">
            <v>2590</v>
          </cell>
          <cell r="F427" t="str">
            <v>VIVIANE GUEDES PACHECO</v>
          </cell>
          <cell r="G427">
            <v>39920</v>
          </cell>
          <cell r="H427" t="str">
            <v/>
          </cell>
          <cell r="I427" t="str">
            <v/>
          </cell>
          <cell r="K427">
            <v>35</v>
          </cell>
          <cell r="L427" t="str">
            <v>RS</v>
          </cell>
          <cell r="M427" t="str">
            <v>000</v>
          </cell>
          <cell r="N427">
            <v>15</v>
          </cell>
          <cell r="O427" t="str">
            <v>000</v>
          </cell>
          <cell r="P427" t="str">
            <v>0</v>
          </cell>
          <cell r="Q427" t="str">
            <v>0</v>
          </cell>
          <cell r="T427" t="str">
            <v>1445</v>
          </cell>
          <cell r="U427" t="str">
            <v>ATENDENTE GRACIELA (A PARTIR DE 03.08.2009)    inativado por cleber em 27.05.13</v>
          </cell>
          <cell r="W427" t="str">
            <v>I</v>
          </cell>
        </row>
        <row r="428">
          <cell r="A428">
            <v>1444</v>
          </cell>
          <cell r="B428" t="str">
            <v>LOJA SAO JERONIMO - RS</v>
          </cell>
          <cell r="C428">
            <v>3483</v>
          </cell>
          <cell r="D428" t="str">
            <v>LARISSA OLIVEIRA BARBOZA</v>
          </cell>
          <cell r="E428">
            <v>763</v>
          </cell>
          <cell r="F428" t="str">
            <v>ADRIELE DA SILVA SOUZA</v>
          </cell>
          <cell r="G428">
            <v>39916</v>
          </cell>
          <cell r="H428" t="str">
            <v>RUA OSVALDO ARANHA, 65</v>
          </cell>
          <cell r="I428" t="str">
            <v>CENTRO</v>
          </cell>
          <cell r="J428" t="str">
            <v>96700-000</v>
          </cell>
          <cell r="K428">
            <v>63</v>
          </cell>
          <cell r="L428" t="str">
            <v>RS</v>
          </cell>
          <cell r="M428" t="str">
            <v>5136513206</v>
          </cell>
          <cell r="N428">
            <v>157</v>
          </cell>
          <cell r="O428" t="str">
            <v>5136513206</v>
          </cell>
          <cell r="P428" t="str">
            <v>caroline.venturini@factalojas.com.br</v>
          </cell>
          <cell r="Q428" t="str">
            <v>caroline.venturini@factalojas.com.br;larissa.barboza@facta.com.br</v>
          </cell>
          <cell r="S428" t="str">
            <v>loja1444@factalojas.com.br;larissa.barboza@facta.com.br</v>
          </cell>
          <cell r="T428" t="str">
            <v>1444</v>
          </cell>
          <cell r="U428" t="str">
            <v/>
          </cell>
          <cell r="W428" t="str">
            <v>A</v>
          </cell>
        </row>
        <row r="429">
          <cell r="A429">
            <v>1426</v>
          </cell>
          <cell r="B429" t="str">
            <v>LOJA FACTA IJUÍ - BRADESCO</v>
          </cell>
          <cell r="E429">
            <v>389</v>
          </cell>
          <cell r="F429" t="str">
            <v>ANDRESSA DA SILVA DA SILVA</v>
          </cell>
          <cell r="G429">
            <v>39731</v>
          </cell>
          <cell r="K429">
            <v>42</v>
          </cell>
          <cell r="L429" t="str">
            <v>RS</v>
          </cell>
          <cell r="M429" t="str">
            <v xml:space="preserve">5533327911 </v>
          </cell>
          <cell r="N429">
            <v>0</v>
          </cell>
          <cell r="O429" t="str">
            <v xml:space="preserve">5533327911 </v>
          </cell>
          <cell r="P429" t="str">
            <v>loja1423@factaemprestimos.com.br</v>
          </cell>
          <cell r="Q429" t="str">
            <v>com ANDRESSA</v>
          </cell>
          <cell r="W429" t="str">
            <v>I</v>
          </cell>
        </row>
        <row r="430">
          <cell r="A430">
            <v>1440</v>
          </cell>
          <cell r="B430" t="str">
            <v>ATENDIMENTO RS - KATE CAROLINE OLIVEIRA DUTRA</v>
          </cell>
          <cell r="E430">
            <v>1049</v>
          </cell>
          <cell r="F430" t="str">
            <v>JONATAS DUARTE VOSKELIS</v>
          </cell>
          <cell r="G430">
            <v>39469</v>
          </cell>
          <cell r="H430" t="str">
            <v>RUA DOS ANDRADAS , 1409 - 6 º ANDAR</v>
          </cell>
          <cell r="I430" t="str">
            <v>CENTRO</v>
          </cell>
          <cell r="J430" t="str">
            <v>90020-011</v>
          </cell>
          <cell r="K430">
            <v>35</v>
          </cell>
          <cell r="L430" t="str">
            <v>RS</v>
          </cell>
          <cell r="M430" t="str">
            <v>00000</v>
          </cell>
          <cell r="N430">
            <v>2</v>
          </cell>
          <cell r="O430" t="str">
            <v>00000</v>
          </cell>
          <cell r="P430" t="str">
            <v>monitoria.desempenho@facta.com.br</v>
          </cell>
          <cell r="Q430" t="str">
            <v>monitoria.desempenho@facta.com.br</v>
          </cell>
          <cell r="T430" t="str">
            <v>kate</v>
          </cell>
          <cell r="U430" t="str">
            <v>inat a pedido de Jonatas Voskelis 04/11/13</v>
          </cell>
          <cell r="W430" t="str">
            <v>I</v>
          </cell>
        </row>
        <row r="431">
          <cell r="A431">
            <v>1441</v>
          </cell>
          <cell r="B431" t="str">
            <v xml:space="preserve">ATENDIMENTO RS - SANDRA NARA SILVA FANFA </v>
          </cell>
          <cell r="E431">
            <v>1384</v>
          </cell>
          <cell r="F431" t="str">
            <v>MILTON MORALES CINTRA E SILVA</v>
          </cell>
          <cell r="G431">
            <v>39469</v>
          </cell>
          <cell r="H431" t="str">
            <v>RUA DOS ANDRADAS, 1409 - 6º ANDAR</v>
          </cell>
          <cell r="I431" t="str">
            <v>CENTRO</v>
          </cell>
          <cell r="J431" t="str">
            <v>90020-011</v>
          </cell>
          <cell r="K431">
            <v>35</v>
          </cell>
          <cell r="L431" t="str">
            <v>RS</v>
          </cell>
          <cell r="M431" t="str">
            <v>000000</v>
          </cell>
          <cell r="N431">
            <v>131</v>
          </cell>
          <cell r="O431" t="str">
            <v>000000</v>
          </cell>
          <cell r="P431" t="str">
            <v>sandra.fanfa@factaemprestimos.com.br</v>
          </cell>
          <cell r="Q431" t="str">
            <v>monitoria.desempenho@facta.com.br</v>
          </cell>
          <cell r="T431" t="str">
            <v>FANFA</v>
          </cell>
          <cell r="U431" t="str">
            <v>VOLTOU P/ ATEND. SANDRA EM 13/11/2009</v>
          </cell>
          <cell r="W431" t="str">
            <v>I</v>
          </cell>
        </row>
        <row r="432">
          <cell r="A432">
            <v>1443</v>
          </cell>
          <cell r="B432" t="str">
            <v>LOJA CAXIAS DO SUL - RS</v>
          </cell>
          <cell r="C432">
            <v>3802</v>
          </cell>
          <cell r="D432" t="str">
            <v>THAMIRES IZIDORO DO NASCIMENTO SILVA</v>
          </cell>
          <cell r="E432">
            <v>763</v>
          </cell>
          <cell r="F432" t="str">
            <v>ADRIELE DA SILVA SOUZA</v>
          </cell>
          <cell r="G432">
            <v>39469</v>
          </cell>
          <cell r="H432" t="str">
            <v>RUA BENTO GONÇALVES, 1967 LJ 5 EDIFÍCIO C. PRESIDE</v>
          </cell>
          <cell r="I432" t="str">
            <v>CENTRO</v>
          </cell>
          <cell r="J432" t="str">
            <v>95020-412</v>
          </cell>
          <cell r="K432">
            <v>28</v>
          </cell>
          <cell r="L432" t="str">
            <v>RS</v>
          </cell>
          <cell r="M432" t="str">
            <v>5430210010</v>
          </cell>
          <cell r="N432">
            <v>404</v>
          </cell>
          <cell r="O432" t="str">
            <v>5430210010</v>
          </cell>
          <cell r="P432" t="str">
            <v>bruna.ferreira@factalojas.com.br</v>
          </cell>
          <cell r="Q432" t="str">
            <v>bianca.silva@facta.com.br</v>
          </cell>
          <cell r="S432" t="str">
            <v>loja1443@factalojas.com.br</v>
          </cell>
          <cell r="T432" t="str">
            <v>1443</v>
          </cell>
          <cell r="U432" t="str">
            <v xml:space="preserve">_x000D_
</v>
          </cell>
          <cell r="W432" t="str">
            <v>A</v>
          </cell>
        </row>
        <row r="433">
          <cell r="A433">
            <v>1425</v>
          </cell>
          <cell r="B433" t="str">
            <v>LOJA NOVO HAMBURGO</v>
          </cell>
          <cell r="C433">
            <v>0</v>
          </cell>
          <cell r="E433">
            <v>0</v>
          </cell>
          <cell r="G433">
            <v>39442</v>
          </cell>
          <cell r="H433" t="str">
            <v>RUA CALÇADÃO OSVALDO CRUZ, 25</v>
          </cell>
          <cell r="I433" t="str">
            <v>CENTRO</v>
          </cell>
          <cell r="J433" t="str">
            <v>93510-015</v>
          </cell>
          <cell r="K433">
            <v>21</v>
          </cell>
          <cell r="L433" t="str">
            <v>RS</v>
          </cell>
          <cell r="M433" t="str">
            <v xml:space="preserve">5130365326 </v>
          </cell>
          <cell r="N433">
            <v>7</v>
          </cell>
          <cell r="O433" t="str">
            <v xml:space="preserve">5130365326 </v>
          </cell>
          <cell r="P433" t="str">
            <v>loja1425@factaemprestimos.com.br</v>
          </cell>
          <cell r="Q433" t="str">
            <v>0</v>
          </cell>
          <cell r="T433" t="str">
            <v>LOJANH</v>
          </cell>
          <cell r="U433" t="str">
            <v xml:space="preserve"> Inativado por solicitação Clebert 234567</v>
          </cell>
          <cell r="V433" t="str">
            <v>http://maps.google.com.br/maps/ms?ie=UTF8&amp;hl=pt-BR&amp;msa=0&amp;msid=117336045373606229234.00044f5057a9014c2efc3&amp;z=17</v>
          </cell>
          <cell r="W433" t="str">
            <v>I</v>
          </cell>
        </row>
        <row r="434">
          <cell r="A434">
            <v>1430</v>
          </cell>
          <cell r="B434" t="str">
            <v>LOJA CAMPO BOM</v>
          </cell>
          <cell r="C434">
            <v>0</v>
          </cell>
          <cell r="E434">
            <v>0</v>
          </cell>
          <cell r="G434">
            <v>39372</v>
          </cell>
          <cell r="H434" t="str">
            <v>RUA PASTOR FREDERICO, 49</v>
          </cell>
          <cell r="I434" t="str">
            <v>CENTRO</v>
          </cell>
          <cell r="J434" t="str">
            <v>93700-000</v>
          </cell>
          <cell r="K434">
            <v>78</v>
          </cell>
          <cell r="L434" t="str">
            <v>RS</v>
          </cell>
          <cell r="M434" t="str">
            <v>35971982</v>
          </cell>
          <cell r="N434">
            <v>79</v>
          </cell>
          <cell r="O434" t="str">
            <v>35971982</v>
          </cell>
          <cell r="P434" t="str">
            <v>loja1430@factaemprestimos.com.br</v>
          </cell>
          <cell r="Q434" t="str">
            <v>aline.vilella@factaemprestimos.com.br</v>
          </cell>
          <cell r="T434" t="str">
            <v>1430</v>
          </cell>
          <cell r="U434" t="str">
            <v>CADATRO DE CONTA BANCARIA A PEDIDO DE CLEBER 20/06 - Inat a pedido de Aline (182625) 16/01/14</v>
          </cell>
          <cell r="W434" t="str">
            <v>I</v>
          </cell>
        </row>
        <row r="435">
          <cell r="A435">
            <v>1424</v>
          </cell>
          <cell r="B435" t="str">
            <v>LOJA ROLANTE - RS</v>
          </cell>
          <cell r="C435">
            <v>7835</v>
          </cell>
          <cell r="D435" t="str">
            <v>JOSIANE DE SOUZA MONTEIRO DOS SANTOS</v>
          </cell>
          <cell r="E435">
            <v>763</v>
          </cell>
          <cell r="F435" t="str">
            <v>ADRIELE DA SILVA SOUZA</v>
          </cell>
          <cell r="G435">
            <v>39356</v>
          </cell>
          <cell r="H435" t="str">
            <v>AV. BORGES DE MEDEIROS, 1909</v>
          </cell>
          <cell r="I435" t="str">
            <v>CENTRO</v>
          </cell>
          <cell r="J435" t="str">
            <v>95690-000</v>
          </cell>
          <cell r="K435">
            <v>152</v>
          </cell>
          <cell r="L435" t="str">
            <v>RS</v>
          </cell>
          <cell r="M435" t="str">
            <v>5135472105</v>
          </cell>
          <cell r="N435">
            <v>424</v>
          </cell>
          <cell r="O435" t="str">
            <v>5135472105</v>
          </cell>
          <cell r="P435" t="str">
            <v>david.kappel@factalojas.com.br</v>
          </cell>
          <cell r="Q435" t="str">
            <v>loja1424@factalojas.com.br;david.kappel@factalojas.com.br</v>
          </cell>
          <cell r="S435" t="str">
            <v>loja1424@factalojas.com.br;david.kappel@factalojas.com.br</v>
          </cell>
          <cell r="T435" t="str">
            <v>ROLANTE</v>
          </cell>
          <cell r="U435" t="str">
            <v xml:space="preserve">RETIRADO O BANCO A PEDIDO DE CLEBER 20/06/2011_x000D_
_x000D_
_x000D_
</v>
          </cell>
          <cell r="V435" t="str">
            <v>http://maps.google.com.br/maps/ms?ie=UTF8&amp;hl=pt-BR&amp;msa=0&amp;ll=-29.658745,-50.583243&amp;spn=0.024054,0.037422&amp;z=15&amp;msid=117336045373606229234.00044f68dd29af6a3a125</v>
          </cell>
          <cell r="W435" t="str">
            <v>A</v>
          </cell>
        </row>
        <row r="436">
          <cell r="A436">
            <v>2420</v>
          </cell>
          <cell r="B436" t="str">
            <v xml:space="preserve">CALL CENTER SC </v>
          </cell>
          <cell r="E436">
            <v>0</v>
          </cell>
          <cell r="G436">
            <v>39353</v>
          </cell>
          <cell r="H436" t="str">
            <v>RUA DEODORO , 226 / SALA 101</v>
          </cell>
          <cell r="I436" t="str">
            <v>CENTRO</v>
          </cell>
          <cell r="J436" t="str">
            <v>88010-020</v>
          </cell>
          <cell r="K436">
            <v>160</v>
          </cell>
          <cell r="L436" t="str">
            <v>SC</v>
          </cell>
          <cell r="M436" t="str">
            <v xml:space="preserve">4830278300 </v>
          </cell>
          <cell r="N436">
            <v>625</v>
          </cell>
          <cell r="O436" t="str">
            <v xml:space="preserve">4830278300 </v>
          </cell>
          <cell r="P436" t="str">
            <v>camila.inacio@factaemprestimos.com.br</v>
          </cell>
          <cell r="Q436" t="str">
            <v>carolina.saraiva@factaemprestimos.com.br</v>
          </cell>
          <cell r="T436" t="str">
            <v>CALLCENTERSC</v>
          </cell>
          <cell r="U436" t="str">
            <v/>
          </cell>
          <cell r="V436" t="str">
            <v/>
          </cell>
          <cell r="W436" t="str">
            <v>I</v>
          </cell>
        </row>
        <row r="437">
          <cell r="A437">
            <v>1525</v>
          </cell>
          <cell r="B437" t="str">
            <v>LOJA PORTO ALEGRE - OTTO NIEMEYER - RS</v>
          </cell>
          <cell r="C437">
            <v>3483</v>
          </cell>
          <cell r="D437" t="str">
            <v>LARISSA OLIVEIRA BARBOZA</v>
          </cell>
          <cell r="E437">
            <v>763</v>
          </cell>
          <cell r="F437" t="str">
            <v>ADRIELE DA SILVA SOUZA</v>
          </cell>
          <cell r="G437">
            <v>39171</v>
          </cell>
          <cell r="H437" t="str">
            <v>AV. OTTO NIEMAYER, 2658 - SALA 01</v>
          </cell>
          <cell r="I437" t="str">
            <v>CAMAQUA</v>
          </cell>
          <cell r="J437" t="str">
            <v>91910-001</v>
          </cell>
          <cell r="K437">
            <v>35</v>
          </cell>
          <cell r="L437" t="str">
            <v>RS</v>
          </cell>
          <cell r="M437" t="str">
            <v>5123910489</v>
          </cell>
          <cell r="N437">
            <v>108</v>
          </cell>
          <cell r="O437" t="str">
            <v>5123910489</v>
          </cell>
          <cell r="P437" t="str">
            <v>francielle.valadares@factalojas.com.br</v>
          </cell>
          <cell r="Q437" t="str">
            <v>francielle.valadares@factalojas.com.br</v>
          </cell>
          <cell r="S437" t="str">
            <v>loja1525@factalojas.com.br;francielle.valadares@factalojas.com.br</v>
          </cell>
          <cell r="T437" t="str">
            <v>1525</v>
          </cell>
          <cell r="U437" t="str">
            <v>**retirado login BV pois agente estava com a senha bloqueada e precisava digitar proposta assim que chegar nova senha cadastramos novamente ROBERTO FERREIRA - 1525RS</v>
          </cell>
          <cell r="W437" t="str">
            <v>A</v>
          </cell>
        </row>
        <row r="438">
          <cell r="A438">
            <v>1423</v>
          </cell>
          <cell r="B438" t="str">
            <v>LOJA IJUI 1 - RS</v>
          </cell>
          <cell r="C438">
            <v>9984</v>
          </cell>
          <cell r="D438" t="str">
            <v>FABIOLA DAL ROSSO</v>
          </cell>
          <cell r="E438">
            <v>763</v>
          </cell>
          <cell r="F438" t="str">
            <v>ADRIELE DA SILVA SOUZA</v>
          </cell>
          <cell r="G438">
            <v>38803</v>
          </cell>
          <cell r="H438" t="str">
            <v>RUA 15 DE NOVEMBRO, 217 - SALA 01</v>
          </cell>
          <cell r="I438" t="str">
            <v>CENTRO</v>
          </cell>
          <cell r="J438" t="str">
            <v>98700-000</v>
          </cell>
          <cell r="K438">
            <v>42</v>
          </cell>
          <cell r="L438" t="str">
            <v>RS</v>
          </cell>
          <cell r="M438" t="str">
            <v>5533311486</v>
          </cell>
          <cell r="N438">
            <v>612</v>
          </cell>
          <cell r="O438" t="str">
            <v>5533311486</v>
          </cell>
          <cell r="P438" t="str">
            <v>simone.rodrigues@factalojas.com.br</v>
          </cell>
          <cell r="Q438" t="str">
            <v>simone.rodrigues@factalojas.com.br</v>
          </cell>
          <cell r="S438" t="str">
            <v>loja1423@factalojas.com.br</v>
          </cell>
          <cell r="T438" t="str">
            <v>loja_1423</v>
          </cell>
          <cell r="U438" t="str">
            <v>VOIP 613</v>
          </cell>
          <cell r="V438" t="str">
            <v>http://maps.google.com.br/maps/ms?ie=UTF8&amp;hl=pt-BR&amp;msa=0&amp;msid=117336045373606229234.00044f5028559b092a07a&amp;z=17</v>
          </cell>
          <cell r="W438" t="str">
            <v>A</v>
          </cell>
        </row>
        <row r="439">
          <cell r="A439">
            <v>1422</v>
          </cell>
          <cell r="B439" t="str">
            <v>LOJA TAPES - RS</v>
          </cell>
          <cell r="C439">
            <v>10656</v>
          </cell>
          <cell r="D439" t="str">
            <v>VIVIANE FAGUNDES DE MELLO</v>
          </cell>
          <cell r="E439">
            <v>763</v>
          </cell>
          <cell r="F439" t="str">
            <v>ADRIELE DA SILVA SOUZA</v>
          </cell>
          <cell r="G439">
            <v>38782</v>
          </cell>
          <cell r="H439" t="str">
            <v>AV. ASSIS BRASIL, 371 LOJA 2</v>
          </cell>
          <cell r="I439" t="str">
            <v>CENTRO</v>
          </cell>
          <cell r="J439" t="str">
            <v>96760-000</v>
          </cell>
          <cell r="K439">
            <v>17</v>
          </cell>
          <cell r="L439" t="str">
            <v>RS</v>
          </cell>
          <cell r="M439" t="str">
            <v>5135008531</v>
          </cell>
          <cell r="N439">
            <v>54</v>
          </cell>
          <cell r="O439" t="str">
            <v>5135008531</v>
          </cell>
          <cell r="P439" t="str">
            <v>francieli.silva@factalojas.com.br</v>
          </cell>
          <cell r="Q439" t="str">
            <v>viviane.mello@facta.com.br</v>
          </cell>
          <cell r="S439" t="str">
            <v>loja1422@factalojas.com.br</v>
          </cell>
          <cell r="T439" t="str">
            <v>TAPES</v>
          </cell>
          <cell r="W439" t="str">
            <v>A</v>
          </cell>
        </row>
        <row r="440">
          <cell r="A440">
            <v>1420</v>
          </cell>
          <cell r="B440" t="str">
            <v>LOJA TAQUARA - RS</v>
          </cell>
          <cell r="C440">
            <v>7835</v>
          </cell>
          <cell r="D440" t="str">
            <v>JOSIANE DE SOUZA MONTEIRO DOS SANTOS</v>
          </cell>
          <cell r="E440">
            <v>763</v>
          </cell>
          <cell r="F440" t="str">
            <v>ADRIELE DA SILVA SOUZA</v>
          </cell>
          <cell r="G440">
            <v>38651</v>
          </cell>
          <cell r="H440" t="str">
            <v>RUA GUILHERME LAHN, 1282</v>
          </cell>
          <cell r="I440" t="str">
            <v>CENTRO</v>
          </cell>
          <cell r="J440" t="str">
            <v>95600-104</v>
          </cell>
          <cell r="K440">
            <v>11</v>
          </cell>
          <cell r="L440" t="str">
            <v>RS</v>
          </cell>
          <cell r="M440" t="str">
            <v>5135417815</v>
          </cell>
          <cell r="N440">
            <v>614</v>
          </cell>
          <cell r="O440" t="str">
            <v>5135417815</v>
          </cell>
          <cell r="P440" t="str">
            <v>debora.martini@factalojas.com.br</v>
          </cell>
          <cell r="Q440" t="str">
            <v>josiane.santos@facta.com.br</v>
          </cell>
          <cell r="S440" t="str">
            <v>loja1420@factalojas.com.br</v>
          </cell>
          <cell r="T440" t="str">
            <v>TAQUARA</v>
          </cell>
          <cell r="U440" t="str">
            <v xml:space="preserve">EMAIL CADASTRADO CONF SOLT PORTAL 25853_x000D_
_x000D_
</v>
          </cell>
          <cell r="V440" t="str">
            <v>http://maps.google.com.br/maps/ms?ie=UTF8&amp;hl=pt-BR&amp;msa=0&amp;msid=117336045373606229234.00044f407daf95e443f45&amp;z=17</v>
          </cell>
          <cell r="W440" t="str">
            <v>A</v>
          </cell>
        </row>
        <row r="441">
          <cell r="A441">
            <v>1419</v>
          </cell>
          <cell r="B441" t="str">
            <v>LOJA SAPUCAIA DO SUL 2 - RS</v>
          </cell>
          <cell r="C441">
            <v>3802</v>
          </cell>
          <cell r="D441" t="str">
            <v>THAMIRES IZIDORO DO NASCIMENTO SILVA</v>
          </cell>
          <cell r="E441">
            <v>763</v>
          </cell>
          <cell r="F441" t="str">
            <v>ADRIELE DA SILVA SOUZA</v>
          </cell>
          <cell r="G441">
            <v>38624</v>
          </cell>
          <cell r="H441" t="str">
            <v xml:space="preserve">AVENIDA SAPUCAIA, 2089 </v>
          </cell>
          <cell r="I441" t="str">
            <v>CENTRO</v>
          </cell>
          <cell r="J441" t="str">
            <v>93210-240</v>
          </cell>
          <cell r="K441">
            <v>14</v>
          </cell>
          <cell r="L441" t="str">
            <v>RS</v>
          </cell>
          <cell r="M441" t="str">
            <v>5131913502</v>
          </cell>
          <cell r="N441">
            <v>730</v>
          </cell>
          <cell r="O441" t="str">
            <v>5131913502</v>
          </cell>
          <cell r="P441" t="str">
            <v>dawelle.torres@factalojas.com.br</v>
          </cell>
          <cell r="Q441" t="str">
            <v>loja1419@factalojas.com.br;dawelle.torres@factalojas.com.br;thamires.nascimento@facta.com.br</v>
          </cell>
          <cell r="S441" t="str">
            <v>loja1419@factalojas.com.br;dawelle.torres@factalojas.com.br;thamires.nascimento@facta.com.br</v>
          </cell>
          <cell r="T441" t="str">
            <v>1419</v>
          </cell>
          <cell r="U441" t="str">
            <v xml:space="preserve">_x000D_
</v>
          </cell>
          <cell r="W441" t="str">
            <v>A</v>
          </cell>
        </row>
        <row r="442">
          <cell r="A442">
            <v>1417</v>
          </cell>
          <cell r="B442" t="str">
            <v>LOJA SAO LEOPOLDO - RS</v>
          </cell>
          <cell r="C442">
            <v>10656</v>
          </cell>
          <cell r="D442" t="str">
            <v>VIVIANE FAGUNDES DE MELLO</v>
          </cell>
          <cell r="E442">
            <v>763</v>
          </cell>
          <cell r="F442" t="str">
            <v>ADRIELE DA SILVA SOUZA</v>
          </cell>
          <cell r="G442">
            <v>38621</v>
          </cell>
          <cell r="H442" t="str">
            <v>RUA INDEPENDENCIA 636 - SALA 3</v>
          </cell>
          <cell r="I442" t="str">
            <v>CENTRO</v>
          </cell>
          <cell r="J442" t="str">
            <v>93020-190</v>
          </cell>
          <cell r="K442">
            <v>31</v>
          </cell>
          <cell r="L442" t="str">
            <v>RS</v>
          </cell>
          <cell r="M442" t="str">
            <v>5130375400</v>
          </cell>
          <cell r="N442">
            <v>417</v>
          </cell>
          <cell r="O442" t="str">
            <v>5130375400</v>
          </cell>
          <cell r="P442" t="str">
            <v>thayna.silva@factalojas.com.br</v>
          </cell>
          <cell r="Q442" t="str">
            <v>loja417@factalojas.com.br;thayna.silva@factalojas.com.br;thamires.nascimento@facta.com.br</v>
          </cell>
          <cell r="S442" t="str">
            <v>loja417@factalojas.com.br;thayna.silva@factalojas.com.br;thamires.nascimento@facta.com.br</v>
          </cell>
          <cell r="T442" t="str">
            <v>SAOLEO</v>
          </cell>
          <cell r="U442" t="str">
            <v/>
          </cell>
          <cell r="V442" t="str">
            <v>http://maps.google.com.br/maps/ms?ie=UTF8&amp;hl=pt-BR&amp;msa=0&amp;msid=117336045373606229234.00044f4ffb986d961b7e1&amp;z=17</v>
          </cell>
          <cell r="W442" t="str">
            <v>A</v>
          </cell>
        </row>
        <row r="443">
          <cell r="A443">
            <v>1418</v>
          </cell>
          <cell r="B443" t="str">
            <v>LOJA SAPUCAIA DO SUL 1 - RS</v>
          </cell>
          <cell r="C443">
            <v>3802</v>
          </cell>
          <cell r="D443" t="str">
            <v>THAMIRES IZIDORO DO NASCIMENTO SILVA</v>
          </cell>
          <cell r="E443">
            <v>763</v>
          </cell>
          <cell r="F443" t="str">
            <v>ADRIELE DA SILVA SOUZA</v>
          </cell>
          <cell r="G443">
            <v>38621</v>
          </cell>
          <cell r="H443" t="str">
            <v>RUA RODRIGUES DE FIGUEIREDO 145 LOJA 02</v>
          </cell>
          <cell r="I443" t="str">
            <v>CENTRO</v>
          </cell>
          <cell r="J443" t="str">
            <v>93220-360</v>
          </cell>
          <cell r="K443">
            <v>14</v>
          </cell>
          <cell r="L443" t="str">
            <v>RS</v>
          </cell>
          <cell r="M443" t="str">
            <v>5130341500</v>
          </cell>
          <cell r="N443">
            <v>418</v>
          </cell>
          <cell r="O443" t="str">
            <v>5130341500</v>
          </cell>
          <cell r="P443" t="str">
            <v>tamires.franca@factalojas.com.br</v>
          </cell>
          <cell r="Q443" t="str">
            <v>loja418@factalojas.com.br;tamires.franca@factalojas.com.br;thamires.nascimento@facta.com.br</v>
          </cell>
          <cell r="S443" t="str">
            <v>loja418@factalojas.com.br;tamires.franca@factalojas.com.br;thamires.nascimento@facta.com.br</v>
          </cell>
          <cell r="T443" t="str">
            <v>SAPUCAIA</v>
          </cell>
          <cell r="U443" t="str">
            <v>RESPONSAVEL: VANDERLEI</v>
          </cell>
          <cell r="V443" t="str">
            <v>http://maps.google.com.br/maps/ms?ie=UTF8&amp;hl=pt-BR&amp;msa=0&amp;msid=117336045373606229234.00044f5007ef5b5b6e0b7&amp;z=17</v>
          </cell>
          <cell r="W443" t="str">
            <v>A</v>
          </cell>
        </row>
        <row r="444">
          <cell r="A444">
            <v>1414</v>
          </cell>
          <cell r="B444" t="str">
            <v>LOJA VIAMAO - RS</v>
          </cell>
          <cell r="C444">
            <v>3483</v>
          </cell>
          <cell r="D444" t="str">
            <v>LARISSA OLIVEIRA BARBOZA</v>
          </cell>
          <cell r="E444">
            <v>763</v>
          </cell>
          <cell r="F444" t="str">
            <v>ADRIELE DA SILVA SOUZA</v>
          </cell>
          <cell r="G444">
            <v>38532</v>
          </cell>
          <cell r="H444" t="str">
            <v>RUA: CORONEL MARCOS DE ANDRADE, 437</v>
          </cell>
          <cell r="I444" t="str">
            <v>CENTRO</v>
          </cell>
          <cell r="J444" t="str">
            <v>94410-050</v>
          </cell>
          <cell r="K444">
            <v>29</v>
          </cell>
          <cell r="L444" t="str">
            <v>RS</v>
          </cell>
          <cell r="M444" t="str">
            <v>5130458735</v>
          </cell>
          <cell r="N444">
            <v>13</v>
          </cell>
          <cell r="O444" t="str">
            <v>5130458735</v>
          </cell>
          <cell r="P444" t="str">
            <v>fernanda.soares@factalojas.com.br</v>
          </cell>
          <cell r="Q444" t="str">
            <v>guilherme.coutinho@factalojas.com.br</v>
          </cell>
          <cell r="S444" t="str">
            <v>loja1414@factalojas.com.br;amanda.teixeira@factalojas.com.br</v>
          </cell>
          <cell r="T444" t="str">
            <v>1414</v>
          </cell>
          <cell r="U444" t="str">
            <v/>
          </cell>
          <cell r="W444" t="str">
            <v>A</v>
          </cell>
        </row>
        <row r="445">
          <cell r="A445">
            <v>1413</v>
          </cell>
          <cell r="B445" t="str">
            <v>LOJA PORTO ALEGRE - SARANDI</v>
          </cell>
          <cell r="E445">
            <v>1384</v>
          </cell>
          <cell r="F445" t="str">
            <v>MILTON MORALES CINTRA E SILVA</v>
          </cell>
          <cell r="G445">
            <v>38526</v>
          </cell>
          <cell r="H445" t="str">
            <v>AV. ASSIS BRASIL Nº 6493 LOJA 2</v>
          </cell>
          <cell r="I445" t="str">
            <v>SARANDI</v>
          </cell>
          <cell r="J445" t="str">
            <v>91170-200</v>
          </cell>
          <cell r="K445">
            <v>35</v>
          </cell>
          <cell r="L445" t="str">
            <v>RS</v>
          </cell>
          <cell r="M445" t="str">
            <v xml:space="preserve">5133868666 </v>
          </cell>
          <cell r="N445">
            <v>137</v>
          </cell>
          <cell r="O445" t="str">
            <v xml:space="preserve">5133868666 </v>
          </cell>
          <cell r="P445" t="str">
            <v>loja1413@factaemprestimos.com.br</v>
          </cell>
          <cell r="Q445" t="str">
            <v>0</v>
          </cell>
          <cell r="T445" t="str">
            <v>SARANDI</v>
          </cell>
          <cell r="U445" t="str">
            <v>ALT. RESPONSAVEL DA LOJA 31/08/2012</v>
          </cell>
          <cell r="V445" t="str">
            <v>http://maps.google.com.br/maps/ms?ie=UTF8&amp;hl=pt-BR&amp;msa=0&amp;msid=117336045373606229234.00044f4fa842364939a5b&amp;z=17</v>
          </cell>
          <cell r="W445" t="str">
            <v>I</v>
          </cell>
        </row>
        <row r="446">
          <cell r="A446">
            <v>1410</v>
          </cell>
          <cell r="B446" t="str">
            <v>LOJA PORTO ALEGRE - CORONEL VICENTE - RS</v>
          </cell>
          <cell r="E446">
            <v>4423</v>
          </cell>
          <cell r="F446" t="str">
            <v>WILLIAM PIRES CUNHA</v>
          </cell>
          <cell r="G446">
            <v>38517</v>
          </cell>
          <cell r="H446" t="str">
            <v>RUA CORONEL VICENTE 635</v>
          </cell>
          <cell r="I446" t="str">
            <v>CENTRO</v>
          </cell>
          <cell r="J446" t="str">
            <v>90030-041</v>
          </cell>
          <cell r="K446">
            <v>35</v>
          </cell>
          <cell r="L446" t="str">
            <v>RS</v>
          </cell>
          <cell r="M446" t="str">
            <v xml:space="preserve">5130950029 </v>
          </cell>
          <cell r="N446">
            <v>147</v>
          </cell>
          <cell r="O446" t="str">
            <v xml:space="preserve">5130950029 </v>
          </cell>
          <cell r="P446" t="str">
            <v>loja1410@facta.com.br</v>
          </cell>
          <cell r="Q446" t="str">
            <v>0</v>
          </cell>
          <cell r="T446" t="str">
            <v>coronel</v>
          </cell>
          <cell r="U446" t="str">
            <v>CLEBER SOLICITOU ALTERAÇÃO DOS DADOS 18/09</v>
          </cell>
          <cell r="V446" t="str">
            <v>http://maps.google.com.br/maps/ms?ie=UTF8&amp;hl=pt-BR&amp;msa=0&amp;msid=117336045373606229234.00044f4f6c8d00090838b&amp;z=17</v>
          </cell>
          <cell r="W446" t="str">
            <v>I</v>
          </cell>
        </row>
        <row r="447">
          <cell r="A447">
            <v>1411</v>
          </cell>
          <cell r="B447" t="str">
            <v>LOJA VIAMÃO -  SANTA ISABEL</v>
          </cell>
          <cell r="E447">
            <v>1384</v>
          </cell>
          <cell r="F447" t="str">
            <v>MILTON MORALES CINTRA E SILVA</v>
          </cell>
          <cell r="G447">
            <v>38517</v>
          </cell>
          <cell r="H447" t="str">
            <v>AV. LIBERDADE, 1488 LOJA 02</v>
          </cell>
          <cell r="I447" t="str">
            <v>SANTA ISABEL</v>
          </cell>
          <cell r="J447" t="str">
            <v>94480-500</v>
          </cell>
          <cell r="K447">
            <v>29</v>
          </cell>
          <cell r="L447" t="str">
            <v>RS</v>
          </cell>
          <cell r="M447" t="str">
            <v xml:space="preserve">5134931673 </v>
          </cell>
          <cell r="N447">
            <v>420</v>
          </cell>
          <cell r="O447" t="str">
            <v xml:space="preserve">5134931673 </v>
          </cell>
          <cell r="P447" t="str">
            <v>loja1411@factaemprestimos.com.br</v>
          </cell>
          <cell r="Q447" t="str">
            <v>0</v>
          </cell>
          <cell r="T447" t="str">
            <v>STAISABEL</v>
          </cell>
          <cell r="U447" t="str">
            <v xml:space="preserve">103-LOJA.1411RS      </v>
          </cell>
          <cell r="W447" t="str">
            <v>I</v>
          </cell>
        </row>
        <row r="448">
          <cell r="A448">
            <v>1409</v>
          </cell>
          <cell r="B448" t="str">
            <v>LOJA PORTO ALEGRE - AZENHA - RS</v>
          </cell>
          <cell r="C448">
            <v>3483</v>
          </cell>
          <cell r="D448" t="str">
            <v>LARISSA OLIVEIRA BARBOZA</v>
          </cell>
          <cell r="E448">
            <v>763</v>
          </cell>
          <cell r="F448" t="str">
            <v>ADRIELE DA SILVA SOUZA</v>
          </cell>
          <cell r="G448">
            <v>38504</v>
          </cell>
          <cell r="H448" t="str">
            <v>AV. AZENHA, 581</v>
          </cell>
          <cell r="I448" t="str">
            <v>AZENHA</v>
          </cell>
          <cell r="J448" t="str">
            <v>90160-001</v>
          </cell>
          <cell r="K448">
            <v>35</v>
          </cell>
          <cell r="L448" t="str">
            <v>RS</v>
          </cell>
          <cell r="M448" t="str">
            <v>5130240484</v>
          </cell>
          <cell r="N448">
            <v>409</v>
          </cell>
          <cell r="O448" t="str">
            <v>5130240484</v>
          </cell>
          <cell r="P448" t="str">
            <v>loja1409@factalojas.com.br;vanessa.quadros@factalojas.com.br</v>
          </cell>
          <cell r="Q448" t="str">
            <v>loja1409@factalojas.com.br;larissa.barboza@facta.com.br</v>
          </cell>
          <cell r="S448" t="str">
            <v>loja1409@factalojas.com.br;larissa.barboza@facta.com.br</v>
          </cell>
          <cell r="T448" t="str">
            <v>AZENHA</v>
          </cell>
          <cell r="U448" t="str">
            <v xml:space="preserve">VOIP 622_x000D_
_x000D_
</v>
          </cell>
          <cell r="W448" t="str">
            <v>A</v>
          </cell>
        </row>
        <row r="449">
          <cell r="A449">
            <v>1499</v>
          </cell>
          <cell r="B449" t="str">
            <v>CALL CENTER SIAPE - RS</v>
          </cell>
          <cell r="C449">
            <v>5723</v>
          </cell>
          <cell r="D449" t="str">
            <v>TERESINHA DE JESUS FREITAS SOARES</v>
          </cell>
          <cell r="E449">
            <v>15556</v>
          </cell>
          <cell r="F449" t="str">
            <v>FERNANDA APARECIDA TOMAZINI</v>
          </cell>
          <cell r="G449">
            <v>38499</v>
          </cell>
          <cell r="H449" t="str">
            <v>AV. BORGES DE MEDEIROS 410/8 ANDAR</v>
          </cell>
          <cell r="I449" t="str">
            <v>CENTRO</v>
          </cell>
          <cell r="J449" t="str">
            <v>90020-022</v>
          </cell>
          <cell r="K449">
            <v>35</v>
          </cell>
          <cell r="L449" t="str">
            <v>RS</v>
          </cell>
          <cell r="M449" t="str">
            <v>5130761818</v>
          </cell>
          <cell r="N449">
            <v>282</v>
          </cell>
          <cell r="O449" t="str">
            <v>5130761818</v>
          </cell>
          <cell r="P449" t="str">
            <v>teresinha.soares@factacall.com.br;gisele.pierre@factacall.com.br</v>
          </cell>
          <cell r="Q449" t="str">
            <v>teresinha.soares@factacall.com.br</v>
          </cell>
          <cell r="S449" t="str">
            <v>teresinha.soares@factacall.com.br</v>
          </cell>
          <cell r="T449" t="str">
            <v>1499</v>
          </cell>
          <cell r="U449" t="str">
            <v>INATIVADO DIA 15/03 solicitado pelo CALL com de acordo do CLEBER (imagens)</v>
          </cell>
          <cell r="W449" t="str">
            <v>A</v>
          </cell>
        </row>
        <row r="450">
          <cell r="A450">
            <v>1407</v>
          </cell>
          <cell r="B450" t="str">
            <v>LOJA CACHOEIRA DO SUL - RS</v>
          </cell>
          <cell r="C450">
            <v>5428</v>
          </cell>
          <cell r="D450" t="str">
            <v>DANIELA DO CARMO CAMPARA</v>
          </cell>
          <cell r="E450">
            <v>763</v>
          </cell>
          <cell r="F450" t="str">
            <v>ADRIELE DA SILVA SOUZA</v>
          </cell>
          <cell r="G450">
            <v>38488</v>
          </cell>
          <cell r="H450" t="str">
            <v>SETE DE SETEMBRO, Nº 1438</v>
          </cell>
          <cell r="I450" t="str">
            <v>CENTRO</v>
          </cell>
          <cell r="J450" t="str">
            <v>96508-010</v>
          </cell>
          <cell r="K450">
            <v>27</v>
          </cell>
          <cell r="L450" t="str">
            <v>RS</v>
          </cell>
          <cell r="M450" t="str">
            <v>5135008706</v>
          </cell>
          <cell r="N450">
            <v>636</v>
          </cell>
          <cell r="O450" t="str">
            <v>5135008706</v>
          </cell>
          <cell r="P450" t="str">
            <v>rafaela.carvalho@factalojas.com.br</v>
          </cell>
          <cell r="Q450" t="str">
            <v>rafaela.carvalho@factalojas.com.br</v>
          </cell>
          <cell r="S450" t="str">
            <v>loja1407@factalojas.com.br</v>
          </cell>
          <cell r="T450" t="str">
            <v>CACHOEIRA</v>
          </cell>
          <cell r="U450" t="str">
            <v>ANTIGO CÓDIGO CORRETORA 1788/</v>
          </cell>
          <cell r="V450" t="str">
            <v>http://maps.google.com.br/maps/ms?ie=UTF8&amp;hl=pt-BR&amp;msa=0&amp;msid=117336045373606229234.00044f4f4dd8bb4209072&amp;z=17</v>
          </cell>
          <cell r="W450" t="str">
            <v>A</v>
          </cell>
        </row>
        <row r="451">
          <cell r="A451">
            <v>1403</v>
          </cell>
          <cell r="B451" t="str">
            <v>LOJA SAPIRANGA - RS</v>
          </cell>
          <cell r="C451">
            <v>7835</v>
          </cell>
          <cell r="D451" t="str">
            <v>JOSIANE DE SOUZA MONTEIRO DOS SANTOS</v>
          </cell>
          <cell r="E451">
            <v>763</v>
          </cell>
          <cell r="F451" t="str">
            <v>ADRIELE DA SILVA SOUZA</v>
          </cell>
          <cell r="G451">
            <v>38429</v>
          </cell>
          <cell r="H451" t="str">
            <v>AV VINTE DE SETEMBRO, 3801 SALA 06</v>
          </cell>
          <cell r="I451" t="str">
            <v>CENTRO</v>
          </cell>
          <cell r="J451" t="str">
            <v>93800-238</v>
          </cell>
          <cell r="K451">
            <v>71</v>
          </cell>
          <cell r="L451" t="str">
            <v>RS</v>
          </cell>
          <cell r="M451" t="str">
            <v>5130391133</v>
          </cell>
          <cell r="N451">
            <v>407</v>
          </cell>
          <cell r="O451" t="str">
            <v>5130391133</v>
          </cell>
          <cell r="P451" t="str">
            <v>karen.jardim@factalojas.com.br</v>
          </cell>
          <cell r="Q451" t="str">
            <v>loja1403@factalojas.com.br</v>
          </cell>
          <cell r="S451" t="str">
            <v>loja1403@factalojas.com.br</v>
          </cell>
          <cell r="T451" t="str">
            <v>SAPIRANGA</v>
          </cell>
          <cell r="U451" t="str">
            <v/>
          </cell>
          <cell r="V451" t="str">
            <v>http://maps.google.com.br/maps/ms?ie=UTF8&amp;hl=pt-BR&amp;msa=0&amp;msid=117336045373606229234.00044f40e252f00feeafa&amp;z=17</v>
          </cell>
          <cell r="W451" t="str">
            <v>A</v>
          </cell>
        </row>
        <row r="452">
          <cell r="A452">
            <v>1404</v>
          </cell>
          <cell r="B452" t="str">
            <v>LOJA PORTO ALEGRE - RESTINGA - RS</v>
          </cell>
          <cell r="C452">
            <v>3483</v>
          </cell>
          <cell r="D452" t="str">
            <v>LARISSA OLIVEIRA BARBOZA</v>
          </cell>
          <cell r="E452">
            <v>763</v>
          </cell>
          <cell r="F452" t="str">
            <v>ADRIELE DA SILVA SOUZA</v>
          </cell>
          <cell r="G452">
            <v>38429</v>
          </cell>
          <cell r="H452" t="str">
            <v>AV JOAO ANTONIO SILVEIRA 1890, 2080 AC T, LOJA 03</v>
          </cell>
          <cell r="I452" t="str">
            <v>RESTINGA</v>
          </cell>
          <cell r="J452" t="str">
            <v>91792-800</v>
          </cell>
          <cell r="K452">
            <v>35</v>
          </cell>
          <cell r="L452" t="str">
            <v>RS</v>
          </cell>
          <cell r="M452" t="str">
            <v>5132633262</v>
          </cell>
          <cell r="N452">
            <v>640</v>
          </cell>
          <cell r="O452" t="str">
            <v>5132633262</v>
          </cell>
          <cell r="P452" t="str">
            <v>fernanda.soares@factalojas.com.br</v>
          </cell>
          <cell r="Q452" t="str">
            <v>-</v>
          </cell>
          <cell r="S452" t="str">
            <v>-</v>
          </cell>
          <cell r="T452" t="str">
            <v>RESTINGA</v>
          </cell>
          <cell r="U452" t="str">
            <v>ANTIGA LOJA CAXIAS DO SUL ALTERADO EM 28/07/2010 -| Inativação Portal 1600121.</v>
          </cell>
          <cell r="V452" t="str">
            <v>http://maps.google.com.br/maps/ms?ie=UTF8&amp;hl=pt-BR&amp;msa=0&amp;msid=117336045373606229234.00044f4f3a209fc415369&amp;z=17</v>
          </cell>
          <cell r="W452" t="str">
            <v>A</v>
          </cell>
        </row>
        <row r="453">
          <cell r="A453">
            <v>1405</v>
          </cell>
          <cell r="B453" t="str">
            <v>LOJA GUAIBA - RS</v>
          </cell>
          <cell r="C453">
            <v>10656</v>
          </cell>
          <cell r="D453" t="str">
            <v>VIVIANE FAGUNDES DE MELLO</v>
          </cell>
          <cell r="E453">
            <v>763</v>
          </cell>
          <cell r="F453" t="str">
            <v>ADRIELE DA SILVA SOUZA</v>
          </cell>
          <cell r="G453">
            <v>38429</v>
          </cell>
          <cell r="H453" t="str">
            <v>RUA CONEGO SCHERER, 556</v>
          </cell>
          <cell r="I453" t="str">
            <v>CENTRO</v>
          </cell>
          <cell r="J453" t="str">
            <v>92704-560</v>
          </cell>
          <cell r="K453">
            <v>79</v>
          </cell>
          <cell r="L453" t="str">
            <v>RS</v>
          </cell>
          <cell r="M453" t="str">
            <v>5130552205</v>
          </cell>
          <cell r="N453">
            <v>620</v>
          </cell>
          <cell r="O453" t="str">
            <v>5130552205</v>
          </cell>
          <cell r="P453" t="str">
            <v>loja1405@factalojas.com.br</v>
          </cell>
          <cell r="Q453" t="str">
            <v>larissa.barboza@facta.com.br;sue.ellen@factalojas.com.br</v>
          </cell>
          <cell r="S453" t="str">
            <v>sue.ellen@factalojas.com.br;larissa.barboza@facta.com.br</v>
          </cell>
          <cell r="T453" t="str">
            <v>GUAIBA</v>
          </cell>
          <cell r="U453" t="str">
            <v/>
          </cell>
          <cell r="V453" t="str">
            <v>http://maps.google.com.br/maps/ms?ie=UTF8&amp;hl=pt-BR&amp;msa=0&amp;msid=117336045373606229234.00044f40c9671abe4e7b3&amp;z=17</v>
          </cell>
          <cell r="W453" t="str">
            <v>A</v>
          </cell>
        </row>
        <row r="454">
          <cell r="A454">
            <v>1401</v>
          </cell>
          <cell r="B454" t="str">
            <v>LOJA PORTO ALEGRE - OSVALDO ARANHA 1 - RS</v>
          </cell>
          <cell r="C454">
            <v>3483</v>
          </cell>
          <cell r="D454" t="str">
            <v>LARISSA OLIVEIRA BARBOZA</v>
          </cell>
          <cell r="E454">
            <v>763</v>
          </cell>
          <cell r="F454" t="str">
            <v>ADRIELE DA SILVA SOUZA</v>
          </cell>
          <cell r="G454">
            <v>38425</v>
          </cell>
          <cell r="H454" t="str">
            <v xml:space="preserve">AV OSVALDO ARANHA, 1394 </v>
          </cell>
          <cell r="I454" t="str">
            <v>BOM FIM</v>
          </cell>
          <cell r="J454" t="str">
            <v>90035-191</v>
          </cell>
          <cell r="K454">
            <v>35</v>
          </cell>
          <cell r="L454" t="str">
            <v>RS</v>
          </cell>
          <cell r="M454" t="str">
            <v>5133721005</v>
          </cell>
          <cell r="N454">
            <v>31</v>
          </cell>
          <cell r="O454" t="str">
            <v>5133721005</v>
          </cell>
          <cell r="P454" t="str">
            <v>gabriel.fialho@factalojas.com.br</v>
          </cell>
          <cell r="Q454" t="str">
            <v>loja1401@factalojas.com.br;gabriel.fialho@factalojas.com.br</v>
          </cell>
          <cell r="S454" t="str">
            <v>loja1401@factalojas.com.br;gabriel.fialho@factalojas.com.br</v>
          </cell>
          <cell r="T454" t="str">
            <v>OSVALDO</v>
          </cell>
          <cell r="U454" t="str">
            <v>ANTIGA LOJA VOLUNTARIOS / CAVALHADA</v>
          </cell>
          <cell r="W454" t="str">
            <v>A</v>
          </cell>
        </row>
        <row r="455">
          <cell r="A455">
            <v>1402</v>
          </cell>
          <cell r="B455" t="str">
            <v>LOJA CANOAS - CENTRO - RS</v>
          </cell>
          <cell r="C455">
            <v>3802</v>
          </cell>
          <cell r="D455" t="str">
            <v>THAMIRES IZIDORO DO NASCIMENTO SILVA</v>
          </cell>
          <cell r="E455">
            <v>763</v>
          </cell>
          <cell r="F455" t="str">
            <v>ADRIELE DA SILVA SOUZA</v>
          </cell>
          <cell r="G455">
            <v>38425</v>
          </cell>
          <cell r="H455" t="str">
            <v>RUA TIRADENTES, 216 - LOJA 06</v>
          </cell>
          <cell r="I455" t="str">
            <v>CENTRO</v>
          </cell>
          <cell r="J455" t="str">
            <v>92010-260</v>
          </cell>
          <cell r="K455">
            <v>7</v>
          </cell>
          <cell r="L455" t="str">
            <v>RS</v>
          </cell>
          <cell r="M455" t="str">
            <v>5130317500</v>
          </cell>
          <cell r="N455">
            <v>402</v>
          </cell>
          <cell r="O455" t="str">
            <v>5130317500</v>
          </cell>
          <cell r="P455" t="str">
            <v>loja1402@factalojas.com.br</v>
          </cell>
          <cell r="Q455" t="str">
            <v>marisangela.schiefelbein@factalojas.com.br</v>
          </cell>
          <cell r="S455" t="str">
            <v>loja1402@factalojas.com.br;thamires.nascimento@facta.com.br</v>
          </cell>
          <cell r="T455" t="str">
            <v>CANOAS</v>
          </cell>
          <cell r="U455" t="str">
            <v>LOGIN PARANA EXCLUIDO POR DOUGLAS 28/05</v>
          </cell>
          <cell r="V455" t="str">
            <v>http://maps.google.com.br/maps/ms?ie=UTF8&amp;hl=pt-BR&amp;msa=0&amp;msid=117336045373606229234.00044f3d8783951655d1a&amp;z=17</v>
          </cell>
          <cell r="W455" t="str">
            <v>A</v>
          </cell>
        </row>
        <row r="456">
          <cell r="A456">
            <v>1450</v>
          </cell>
          <cell r="B456" t="str">
            <v>LOJA PELOTAS</v>
          </cell>
          <cell r="E456">
            <v>7068</v>
          </cell>
          <cell r="F456" t="str">
            <v>CLEBER ROBERTO BARBOSA DOS SANTOS</v>
          </cell>
          <cell r="G456">
            <v>38411</v>
          </cell>
          <cell r="H456" t="str">
            <v xml:space="preserve">RUA XV DE NOVEMBRO, 573 SALA 116 GALERIA CENTRAL </v>
          </cell>
          <cell r="I456" t="str">
            <v>CENTRO</v>
          </cell>
          <cell r="J456" t="str">
            <v>96020-080</v>
          </cell>
          <cell r="K456">
            <v>2</v>
          </cell>
          <cell r="L456" t="str">
            <v>RS</v>
          </cell>
          <cell r="M456" t="str">
            <v xml:space="preserve">5330280015 </v>
          </cell>
          <cell r="N456">
            <v>39</v>
          </cell>
          <cell r="O456" t="str">
            <v xml:space="preserve">5330280015 </v>
          </cell>
          <cell r="P456" t="str">
            <v>loja1450@factaemprestimos.com.br</v>
          </cell>
          <cell r="Q456" t="str">
            <v>0</v>
          </cell>
          <cell r="T456" t="str">
            <v>1450</v>
          </cell>
          <cell r="U456" t="str">
            <v xml:space="preserve"> Inativado por solicitação Clebert 234567</v>
          </cell>
          <cell r="W456" t="str">
            <v>I</v>
          </cell>
        </row>
        <row r="457">
          <cell r="A457">
            <v>1400</v>
          </cell>
          <cell r="B457" t="str">
            <v>LOJA PORTO ALEGRE - BORGES - RS</v>
          </cell>
          <cell r="C457">
            <v>3483</v>
          </cell>
          <cell r="D457" t="str">
            <v>LARISSA OLIVEIRA BARBOZA</v>
          </cell>
          <cell r="E457">
            <v>763</v>
          </cell>
          <cell r="F457" t="str">
            <v>ADRIELE DA SILVA SOUZA</v>
          </cell>
          <cell r="G457">
            <v>38299</v>
          </cell>
          <cell r="H457" t="str">
            <v>RUA DOS ANDRADAS Nº1401</v>
          </cell>
          <cell r="I457" t="str">
            <v>CENTRO</v>
          </cell>
          <cell r="J457" t="str">
            <v>90020-011</v>
          </cell>
          <cell r="K457">
            <v>35</v>
          </cell>
          <cell r="L457" t="str">
            <v>RS</v>
          </cell>
          <cell r="M457" t="str">
            <v>5130217830</v>
          </cell>
          <cell r="N457">
            <v>400</v>
          </cell>
          <cell r="O457" t="str">
            <v>5130217830</v>
          </cell>
          <cell r="P457" t="str">
            <v>jianini.marin@factalojas.com.br</v>
          </cell>
          <cell r="Q457" t="str">
            <v>jianini.marin@factalojas.com.br</v>
          </cell>
          <cell r="S457" t="str">
            <v>loja1400@factalojas.com.br;jianini.marin@factalojas.com.br</v>
          </cell>
          <cell r="T457" t="str">
            <v>Loja1400</v>
          </cell>
          <cell r="U457" t="str">
            <v/>
          </cell>
          <cell r="V457" t="str">
            <v>http://maps.google.com.br/maps/ms?ie=UTF8&amp;hl=pt-BR&amp;msa=0&amp;msid=117336045373606229234.00044f3d5765af401bd1b&amp;z=17</v>
          </cell>
          <cell r="W457" t="str">
            <v>A</v>
          </cell>
        </row>
        <row r="458">
          <cell r="A458">
            <v>1500</v>
          </cell>
          <cell r="B458" t="str">
            <v>LOJA PORTO ALEGRE - ASSIS BRASIL - RS</v>
          </cell>
          <cell r="C458">
            <v>7835</v>
          </cell>
          <cell r="D458" t="str">
            <v>JOSIANE DE SOUZA MONTEIRO DOS SANTOS</v>
          </cell>
          <cell r="E458">
            <v>763</v>
          </cell>
          <cell r="F458" t="str">
            <v>ADRIELE DA SILVA SOUZA</v>
          </cell>
          <cell r="G458">
            <v>38293</v>
          </cell>
          <cell r="H458" t="str">
            <v>AV. ASSIS BRASIL, 2654 - LOJA 07</v>
          </cell>
          <cell r="I458" t="str">
            <v>CRISTO REDENTOR</v>
          </cell>
          <cell r="J458" t="str">
            <v>91060-290</v>
          </cell>
          <cell r="K458">
            <v>35</v>
          </cell>
          <cell r="L458" t="str">
            <v>RS</v>
          </cell>
          <cell r="M458" t="str">
            <v>5130287565</v>
          </cell>
          <cell r="N458">
            <v>500</v>
          </cell>
          <cell r="O458" t="str">
            <v>5130287565</v>
          </cell>
          <cell r="P458" t="str">
            <v>edson.rosa@factalojas.com.br</v>
          </cell>
          <cell r="Q458" t="str">
            <v>josiane.santos@facta.com.br;edson.rosa@factalojas.com.br</v>
          </cell>
          <cell r="S458" t="str">
            <v>edson.rosa@factalojas.com.br</v>
          </cell>
          <cell r="T458" t="str">
            <v>BRASIL</v>
          </cell>
          <cell r="U458" t="str">
            <v/>
          </cell>
          <cell r="V458" t="str">
            <v>http://maps.google.com.br/maps/ms?ie=UTF8&amp;hl=pt-BR&amp;msa=0&amp;msid=117336045373606229234.00044f45728985b52c8ad&amp;z=17</v>
          </cell>
          <cell r="W458" t="str">
            <v>A</v>
          </cell>
        </row>
        <row r="459">
          <cell r="A459">
            <v>2222</v>
          </cell>
          <cell r="B459" t="str">
            <v>LOJA BALNEARIO CAMBORIU - SC</v>
          </cell>
          <cell r="C459">
            <v>6096</v>
          </cell>
          <cell r="D459" t="str">
            <v>ANA PAULA PICOLLI</v>
          </cell>
          <cell r="E459">
            <v>763</v>
          </cell>
          <cell r="F459" t="str">
            <v>ADRIELE DA SILVA SOUZA</v>
          </cell>
          <cell r="G459">
            <v>36976</v>
          </cell>
          <cell r="H459" t="str">
            <v>RUA 900,  13</v>
          </cell>
          <cell r="I459" t="str">
            <v>CENTRO</v>
          </cell>
          <cell r="J459" t="str">
            <v>88300-604</v>
          </cell>
          <cell r="K459">
            <v>1673</v>
          </cell>
          <cell r="L459" t="str">
            <v>SC</v>
          </cell>
          <cell r="M459" t="str">
            <v>4733632660</v>
          </cell>
          <cell r="N459">
            <v>777</v>
          </cell>
          <cell r="O459" t="str">
            <v>4733632660</v>
          </cell>
          <cell r="P459" t="str">
            <v>diego.garcia@factalojas.com.br</v>
          </cell>
          <cell r="Q459" t="str">
            <v>diego.garcia@factalojas.com.br</v>
          </cell>
          <cell r="S459" t="str">
            <v>loja2222@factalojas.com.br</v>
          </cell>
          <cell r="T459" t="str">
            <v>BALNEARIO</v>
          </cell>
          <cell r="U459" t="str">
            <v>DADOS ALTERADOS A PEDIDO DO GERENTE FABIANO 19/09</v>
          </cell>
          <cell r="V459" t="str">
            <v/>
          </cell>
          <cell r="W459" t="str">
            <v>A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nathan Moscardini da Silva" refreshedDate="45509.365377893519" createdVersion="8" refreshedVersion="8" minRefreshableVersion="3" recordCount="231" xr:uid="{00000000-000A-0000-FFFF-FFFF0B000000}">
  <cacheSource type="worksheet">
    <worksheetSource ref="A11:V11" sheet="LOJAS ATIVAS"/>
  </cacheSource>
  <cacheFields count="20">
    <cacheField name="CÓD" numFmtId="0">
      <sharedItems containsSemiMixedTypes="0" containsString="0" containsNumber="1" containsInteger="1" minValue="1400" maxValue="6000045"/>
    </cacheField>
    <cacheField name="LOJA" numFmtId="0">
      <sharedItems count="256">
        <s v="LOJA ARARANGUA -  SC"/>
        <s v="LOJA BALNEARIO CAMBORIU - SC"/>
        <s v="LOJA CHAPECO - SC"/>
        <s v="LOJA CRICIUMA - SC"/>
        <s v="LOJA ERECHIM - RS"/>
        <s v="LOJA FLORIANOPOLIS - SC"/>
        <s v="LOJA ITAJAI - SC"/>
        <s v="LOJA JOINVILLE - SC"/>
        <s v="LOJA LAGUNA - SC"/>
        <s v="LOJA PALHOÇA - SC"/>
        <s v="LOJA SAO JOSE - SC"/>
        <s v="LOJA TUBARÃO - SC"/>
        <s v="LOJA CARAZINHO - RS"/>
        <s v="LOJA CRUZ ALTA - RS"/>
        <s v="LOJA IJUI 1 - RS"/>
        <s v="LOJA PASSO FUNDO - RS"/>
        <s v="LOJA PASSO FUNDO 2 - RS"/>
        <s v="LOJA SANTA ROSA - RS"/>
        <s v="LOJA SANTO ÂNGELO - RS"/>
        <s v="LOJA SOLEDADE - RS"/>
        <s v="LOJA ALEGRETE - RS"/>
        <s v="LOJA CACHOEIRA DO SUL - RS"/>
        <s v="LOJA ITAQUI - RS"/>
        <s v="LOJA ROSARIO DO SUL"/>
        <s v="LOJA SANTA MARIA - RS"/>
        <s v="LOJA SANTIAGO  - RS"/>
        <s v="LOJA SAO BORJA - RS"/>
        <s v="LOJA SÃO GABRIEL - RS"/>
        <s v="LOJA URUGUAIANA - RS"/>
        <s v="LOJA CAMPO BOM - RS"/>
        <s v="LOJA IGREJINHA - RS"/>
        <s v="LOJA PORTO ALEGRE - ASSIS BRASIL - RS"/>
        <s v="LOJA PORTO ALEGRE - VIGARIO - RS"/>
        <s v="LOJA ROLANTE - RS"/>
        <s v="LOJA SANTO ANTONIO DA PATRULHA - RS"/>
        <s v="LOJA SAPIRANGA - RS"/>
        <s v="LOJA TAQUARA - RS"/>
        <s v="LOJA TORRES - RS"/>
        <s v="LOJA TRAMANDAI - RS"/>
        <s v="LOJA TRES COROAS - RS"/>
        <s v="LOJA CANOAS - CENTRO - RS"/>
        <s v="LOJA CANOAS - GUAJUVIRAS - RS"/>
        <s v="LOJA ESTEIO - RS"/>
        <s v="LOJA NOVO HAMBURGO - RS"/>
        <s v="LOJA NOVO HAMBURGO 2 - RS"/>
        <s v="LOJA SAO LEOPOLDO - RS"/>
        <s v="LOJA SAO LEOPOLDO II - RS"/>
        <s v="LOJA SAPUCAIA DO SUL I - RS"/>
        <s v="LOJA SAPUCAIA DO SUL II - RS"/>
        <s v="LOJA DIADEMA - SP"/>
        <s v="LOJA MAUA - SP"/>
        <s v="LOJA MOGI DAS CRUZES - SP"/>
        <s v="LOJA PRAIA GRANDE - SP"/>
        <s v="LOJA SANTO ANDRE - SP"/>
        <s v="LOJA SANTOS - SP"/>
        <s v="LOJA SAO CAETANO - SP"/>
        <s v="LOJA SAO VICENTE - SP"/>
        <s v="LOJA SUZANO SP"/>
        <s v="LOJA ARARAQUARA - SP"/>
        <s v="LOJA BARAO GERALDO - SP"/>
        <s v="LOJA BAURU - SP"/>
        <s v="LOJA CAMPINAS - SP"/>
        <s v="LOJA JAU - SP"/>
        <s v="LOJA LIMEIRA - SP"/>
        <s v="LOJA MARILIA - SP"/>
        <s v="LOJA OURINHOS - SP"/>
        <s v="LOJA PIRACICABA - SP"/>
        <s v="LOJA RIBEIRAO PRETO - SP"/>
        <s v="LOJA RIO CLARO - SP"/>
        <s v="LOJA SÃO CARLOS - SP"/>
        <s v="LOJA SAO JOSE DO RIO PRETO - SP"/>
        <s v="LOJA SUMARE - SP"/>
        <s v="LOJA VALINHOS - SP"/>
        <s v="LOJA ARTHUR ALVIM - SP"/>
        <s v="LOJA ITAQUAQUECETUBA - SP"/>
        <s v="LOJA ITAQUERA - SP"/>
        <s v="LOJA MATEUS - SP"/>
        <s v="LOJA SAO MIGUEL - SP"/>
        <s v="LOJA SAO PAULO - PENHA - SP"/>
        <s v="LOJA TATUAPE - SP"/>
        <s v="LOJA ALMIRANTE TAMANDARÉ - PR"/>
        <s v="LOJA CURITIBA - PR"/>
        <s v="LOJA FAZENDA RIO GRANDE - PR"/>
        <s v="LOJA PARANAGUA - PR"/>
        <s v="LOJA PONTA GROSSA - PR"/>
        <s v="LOJA SAO JOSÉ DOS PINHAIS"/>
        <s v="LOJA ATIBAIA - SP"/>
        <s v="LOJA FRANCISCO MORATO - SP"/>
        <s v="LOJA FRANCO DA ROCHA - SP"/>
        <s v="LOJA GUARULHOS - SP"/>
        <s v="LOJA JUNDIAI - SP"/>
        <s v="LOJA OSASCO - SP"/>
        <s v="LOJA SAO BENTO - SP"/>
        <s v="LOJA SAO ROQUE - SP"/>
        <s v="LOJA TERMINAL PIMENTAS - SP"/>
        <s v="LOJA BUTIA - RS"/>
        <s v="LOJA CACHOEIRINHA - RS"/>
        <s v="LOJA CHARQUEADAS - RS"/>
        <s v="LOJA GRAVATAI - RS"/>
        <s v="LOJA GUAIBA - RS"/>
        <s v="LOJA PORTO ALEGRE - AZENHA - RS"/>
        <s v="LOJA PORTO ALEGRE - BORGES - RS"/>
        <s v="LOJA PORTO ALEGRE - OSVALDO ARANHA I - RS"/>
        <s v="LOJA SALGADO FILHO - RS"/>
        <s v="LOJA SAO JERONIMO - RS"/>
        <s v="LOJA BENTO GONCALVES - RS"/>
        <s v="LOJA CAXIAS DO SUL - RS"/>
        <s v="LOJA LAJEADO - RS"/>
        <s v="LOJA MONTENEGRO - RS"/>
        <s v="LOJA PORTAO - RS"/>
        <s v="LOJA PORTO ALEGRE - CRISTOVAO COLOMBO - RS"/>
        <s v="LOJA PORTO ALEGRE ASSIS BRASIL III - RS"/>
        <s v="LOJA PROTASIO ALVES - RS"/>
        <s v="LOJA SANTA CRUZ DO SUL - RS"/>
        <s v="LOJA VENANCIO AIRES - RS"/>
        <s v="LOJA VIAMAO - RS"/>
        <s v="LOJA CAMPO MOURÃO - PR"/>
        <s v="LOJA CASCAVEL - PR"/>
        <s v="LOJA FOZ DO IGUAÇU - PR"/>
        <s v="LOJA LONDRINA - PR"/>
        <s v="LOJA MARINGA 1 - PR"/>
        <s v="LOJA MARINGA 2 - PR"/>
        <s v="LOJA TOLEDO - PR"/>
        <s v="LOJA UMUARAMA - PR"/>
        <s v="LOJA CAMAQUA - RS"/>
        <s v="LOJA CANGUÇU - RS"/>
        <s v="LOJA PELOTAS - RS"/>
        <s v="LOJA RIO GRANDE - RS"/>
        <s v="LOJA SAO LOURENÇO - RS"/>
        <s v="LOJA TAPES - RS"/>
        <s v="LOJA CONJ CEARA - FORTALEZA - CE"/>
        <s v="LOJA FORTALEZA - CE"/>
        <s v="LOJA MESSEJANA - CE"/>
        <s v="LOJA PARANGABA - CE"/>
        <s v="LOJA CABULA - SALVADOR"/>
        <s v="LOJA CAJAZEIRAS -  BA"/>
        <s v="LOJA ITAPUÃ - SALVADOR"/>
        <s v="LOJA LAURO DE FREITAS - BA"/>
        <s v="LOJA SALVADOR - BA"/>
        <s v="LOJA SALVADOR - COMERCIO"/>
        <s v="LOJA SAO MARCOS - BA"/>
        <s v="LOJA ARACAJU - SE"/>
        <s v="LOJA MACEIO - AL"/>
        <s v="LOJA AFOGADOS - RECIFE"/>
        <s v="LOJA BAYEUX - PB"/>
        <s v="LOJA CAMPINA GRANDE - PB"/>
        <s v="LOJA CARUARU - PE"/>
        <s v="LOJA CRUZ DAS ARMAS - PB"/>
        <s v="LOJA JOAO PESSOA - PB"/>
        <s v="LOJA MANGABEIRA - PB"/>
        <s v="LOJA NATAL - RN"/>
        <s v="LOJA NATAL - CIDADE ALTA - RN"/>
        <s v="LOJA RECIFE - PE"/>
        <s v="CALL CENTER - DEBITO DIGITAL 1498"/>
        <s v="CALL CENTER - FGTS 1493"/>
        <s v="CALL CENTER PRODUTOS E SERVIÇOS II 1491"/>
        <s v="CALL CENTER PRODUTOS E SERVIÇOS III 1492"/>
        <s v="CALL CENTER PRODUTOS E SERVIÇOS IV 149400"/>
        <s v="CALL CENTER PRODUTOS E SERVIÇOS IX 149800"/>
        <s v="CALL CENTER PRODUTOS E SERVIÇOS V 149500"/>
        <s v="CALL CENTER PRODUTOS E SERVIÇOS VI 149700"/>
        <s v="CALL CENTER PRODUTOS E SERVIÇOS VII 1495"/>
        <s v="CALL CENTER PRODUTOS E SERVIÇOS VIII 149600"/>
        <s v="CALL CENTER SIAPE - RS 1499"/>
        <s v="LOJA GOIANIA - GO"/>
        <s v="LOJA SETOR CAMPINAS - GO "/>
        <s v="LOJA SETOR GARAVELO - GO"/>
        <s v="LOJA ANJO DA GUARDA - MA"/>
        <s v="LOJA JOAO PAULO - MA"/>
        <s v="LOJA PAÇO DO LUMIAR - MA"/>
        <s v="LOJA SAO JOSE DE RIBAMAR - MA"/>
        <s v="LOJA SAO LUIS - MA"/>
        <s v="LOJA TERESINA II - PI"/>
        <s v="LOJA TIRIRICAL - MA"/>
        <s v="LOJA CAMPO GRANDE - MS"/>
        <s v="LOJA CUIABA - MT"/>
        <s v="LOJA PALMAS - TO"/>
        <s v="LOJA  JUIZ DE FORA - MG"/>
        <s v="LOJA BELO HORIZONTE - MG"/>
        <s v="LOJA CATAGUASES - MG"/>
        <s v="LOJA CONSELHEIRO LAFAIETE-MG"/>
        <s v="LOJA CONTAGEM - MG"/>
        <s v="LOJA MURIAE - MG"/>
        <s v="LOJA SANTA LUZIA - MG"/>
        <s v="LOJA SANTOS DUMONT - MG"/>
        <s v="LOJA UBA - MG"/>
        <s v="LOJA VIÇOSA - MG"/>
        <s v="LOJA MANAUS - ALVORADA - AM"/>
        <s v="LOJA MANAUS - CHAPADA - AM"/>
        <s v="LOJA MANAUS - CIDADE NOVA - AM"/>
        <s v="LOJA MANAUS - COMPENSA - AM"/>
        <s v="LOJA MANAUS - EDUCANDOS - AM"/>
        <s v="LOJA MANAUS - SAO JOSE OPERARIO - AM "/>
        <s v="LOJA ANANINDEUA - PA"/>
        <s v="LOJA BELEM - PA"/>
        <s v="LOJA BRAGANÇA - PA"/>
        <s v="LOJA ICOARACI - PA"/>
        <s v="LOJA MACAPA - AP"/>
        <s v="LOJA CARIACICA - ES"/>
        <s v="LOJA GUARAPARI - ES"/>
        <s v="LOJA LINHARES - ES"/>
        <s v="LOJA SERRA - ES"/>
        <s v="LOJA VILA VELHA - ES"/>
        <s v="LOJA VITORIA - ES"/>
        <s v="LOJA ANGRA DOS REIS - RJ"/>
        <s v="LOJA BARRA DO PIRAI - RJ"/>
        <s v="LOJA BARRA MANSA - RJ"/>
        <s v="LOJA CRUZEIRO - SP"/>
        <s v="LOJA GUARATINGUETA - SP"/>
        <s v="LOJA LORENA - SP"/>
        <s v="LOJA RESENDE - RJ"/>
        <s v="LOJA SAO JOSE DOS CAMPOS - SP"/>
        <s v="LOJA TAUBATE - SP"/>
        <s v="LOJA VOLTA REDONDA - RJ"/>
        <s v="LOJA VOLTA REDONDA II - RJ"/>
        <s v="LOJA BANGU - RJ"/>
        <s v="LOJA CAMPO GRANDE - RJ"/>
        <s v="LOJA DUQUE DE CAXIAS - RJ"/>
        <s v="LOJA MADUREIRA - RJ"/>
        <s v="LOJA MEIER - RJ"/>
        <s v="LOJA NITEROI - RJ"/>
        <s v="LOJA NOVA IGUAÇU - RJ"/>
        <s v="LOJA RIO DE JANEIRO - RJ"/>
        <s v="LOJA SANTA RITA - PB"/>
        <s v="LOJA ALMENARA - MG"/>
        <s v="LOJA BACABAL - MA"/>
        <s v="LOJA EUNAPOLIS - BA"/>
        <s v="LOJA ILHEUS - BA"/>
        <s v="LOJA ITABUNA - BA"/>
        <s v="LOJA PORTO SEGURO - BA"/>
        <s v="LOJA VITORIA DA CONQUISTA - BA"/>
        <s v="LOJA CHAPECO / SC" u="1"/>
        <s v="LOJA ERECHIM / RS" u="1"/>
        <s v="LOJA CARAZINHO / RS" u="1"/>
        <s v="LOJA IJUI 2 - RS" u="1"/>
        <s v="LOJA PASSO FUNDO 2 / RS" u="1"/>
        <s v="LOJA SANTA ROSA/RS" u="1"/>
        <s v="LOJA TRES PASSOS - RS" u="1"/>
        <s v="LOJA SÃO GABRIEL / RS" u="1"/>
        <s v="LOJA PORTO ALEGRE - ASSIS BRASIL 2 - RS" u="1"/>
        <s v="LOJA NOVO HAMBURGO 2/RS" u="1"/>
        <s v="LOJA BAURU/SP" u="1"/>
        <s v="LOJA PORTO ALEGRE - OSVALDO ARANHA II - RS" u="1"/>
        <s v="LOJA TOLEDO / PR" u="1"/>
        <s v="LOJA SÃO GERARDO - FORTALEZA" u="1"/>
        <s v="LOJA SALVADOR/COMERCIO" u="1"/>
        <s v="LOJA CARUARU/PE" u="1"/>
        <s v="LOJA MANGABEIRA / PB" u="1"/>
        <s v="LOJA APARECIDA DE GOIANIA II - GO" u="1"/>
        <s v="LOJA SETOR CAMPINAS / GO " u="1"/>
        <s v="LOJA TERESINA - PI" u="1"/>
        <s v="LOJA BH - BARREIRO - MG" u="1"/>
        <s v="LOJA CONTAGEM/MG" u="1"/>
        <s v="LOJA SANTA LUZIA  / MG" u="1"/>
        <s v="LOJA TELEGRAFO - PA" u="1"/>
        <s v="LOJA NOVA IGUAÇU/RJ" u="1"/>
      </sharedItems>
    </cacheField>
    <cacheField name="SUPERVISOR" numFmtId="0">
      <sharedItems/>
    </cacheField>
    <cacheField name="COORDENADOR" numFmtId="0">
      <sharedItems containsBlank="1" count="33">
        <s v="ANA PICOLLI"/>
        <s v="DANIELA DO CARMO CAMPARA"/>
        <s v="FABIOLA DAL ROSSO"/>
        <s v="JOSIANE DE SOUZA MONTEIRO DOS SANTOS"/>
        <s v="THAMIRES IZIDORO DO NASCIMENTO SILVA"/>
        <s v="ANA CELIA PEREIRA SANTOS SILVA"/>
        <s v="JUCILENE CRISTINA LIMA SANTOS ANDRADE"/>
        <s v="MIRIAM DE SALLES BARBIERI"/>
        <s v="ANDREY COSTA DA ROCHA"/>
        <s v="HEVELINS CARVALHO DA SILVA"/>
        <s v="JOAO GUALBERTO BRAZ JUNIOR"/>
        <s v="LARISSA OLIVEIRA BARBOZA"/>
        <s v="THAINARA DO CARMO SANTOS"/>
        <s v="VIVIANE FAGUNDES DE MELLO"/>
        <s v="BRENO ROCHA HONORATO DA SILVA"/>
        <s v="LUANA SANTOS FURMANEK"/>
        <s v="WHANDERSON MATHEUS ARAUJO DA COSTA"/>
        <s v="ALISSON MONEGO PEREIRA"/>
        <s v="STELLA CORDEIRO ALVES"/>
        <s v="LUCIANE DA SILVA FONSECA PINHEIRO"/>
        <s v="RENATO SOUZA DO ESPIRITO SANTO LANGA"/>
        <s v="BRUNO EDUARDO LIMA SILVA"/>
        <s v="NAYRA BASTOS DA SILVA"/>
        <s v="GISELLE MORAES SCHNEIDER"/>
        <s v="LOSANGELA HONORIO DE OLIVEIRA"/>
        <s v="MARIA EDUARDA DELGADO MENESES"/>
        <s v="JOSE WELLINGTON DE SOUSA COSTA"/>
        <s v="ANDRESSA DA SILVA DA SILVA" u="1"/>
        <s v="GUILHERME DA SILVA RODRIGUES" u="1"/>
        <s v="BRUNA FERNANDA CARLOTA ALVES" u="1"/>
        <s v="REGIÃO MANAUS MAYARA" u="1"/>
        <s v="REGIÃO MAYARA" u="1"/>
        <m u="1"/>
      </sharedItems>
    </cacheField>
    <cacheField name="REGIONAL " numFmtId="0">
      <sharedItems count="6">
        <s v="ADRIELE DA SILVA SOUZA"/>
        <s v="CINARA REGINA KEMERICH"/>
        <s v="CRISTIANE CARVALHO GEBELATTO"/>
        <s v="FERNANDA APARECIDA TOMAZINI"/>
        <s v="MAYARA NOVAIS LOPES"/>
        <s v="THAYSA SANDIM DE SOUZA"/>
      </sharedItems>
    </cacheField>
    <cacheField name="UF" numFmtId="0">
      <sharedItems/>
    </cacheField>
    <cacheField name="ENDEREÇO" numFmtId="0">
      <sharedItems/>
    </cacheField>
    <cacheField name="BAIRRO" numFmtId="0">
      <sharedItems/>
    </cacheField>
    <cacheField name="CIDADE" numFmtId="0">
      <sharedItems/>
    </cacheField>
    <cacheField name="CEP" numFmtId="0">
      <sharedItems containsBlank="1" containsMixedTypes="1" containsNumber="1" containsInteger="1" minValue="0" maxValue="0"/>
    </cacheField>
    <cacheField name="DATA ABERt." numFmtId="14">
      <sharedItems containsNonDate="0" containsDate="1" containsString="0" containsBlank="1" minDate="2020-09-01T00:00:00" maxDate="2023-04-25T00:00:00"/>
    </cacheField>
    <cacheField name="DATA DE ABERTURA" numFmtId="0">
      <sharedItems containsDate="1" containsBlank="1" containsMixedTypes="1" minDate="1899-12-31T00:00:00" maxDate="2023-04-25T00:00:00"/>
    </cacheField>
    <cacheField name="QL" numFmtId="0">
      <sharedItems containsMixedTypes="1" containsNumber="1" containsInteger="1" minValue="3" maxValue="10"/>
    </cacheField>
    <cacheField name="REMUNERAÇÃO" numFmtId="0">
      <sharedItems containsBlank="1"/>
    </cacheField>
    <cacheField name="DISCADOR" numFmtId="0">
      <sharedItems containsBlank="1"/>
    </cacheField>
    <cacheField name="TRONCO?" numFmtId="0">
      <sharedItems containsBlank="1"/>
    </cacheField>
    <cacheField name="CC" numFmtId="0">
      <sharedItems containsString="0" containsBlank="1" containsNumber="1" containsInteger="1" minValue="13" maxValue="893"/>
    </cacheField>
    <cacheField name="CENTRO DE CUSTO" numFmtId="0">
      <sharedItems containsBlank="1"/>
    </cacheField>
    <cacheField name="ATIVA" numFmtId="0">
      <sharedItems containsBlank="1" count="3">
        <s v="S"/>
        <s v="N" u="1"/>
        <m u="1"/>
      </sharedItems>
    </cacheField>
    <cacheField name="DIGSAC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nathan Moscardini da Silva" refreshedDate="45509.365378009257" createdVersion="8" refreshedVersion="8" minRefreshableVersion="3" recordCount="231" xr:uid="{00000000-000A-0000-FFFF-FFFF0C000000}">
  <cacheSource type="worksheet">
    <worksheetSource ref="A11:U11" sheet="LOJAS ATIVAS"/>
  </cacheSource>
  <cacheFields count="19">
    <cacheField name="CÓD" numFmtId="0">
      <sharedItems containsSemiMixedTypes="0" containsString="0" containsNumber="1" containsInteger="1" minValue="1400" maxValue="6000045"/>
    </cacheField>
    <cacheField name="LOJA" numFmtId="0">
      <sharedItems/>
    </cacheField>
    <cacheField name="SUPERVISOR" numFmtId="0">
      <sharedItems/>
    </cacheField>
    <cacheField name="COORDENADOR" numFmtId="0">
      <sharedItems containsBlank="1" count="35">
        <s v="ANA PICOLLI"/>
        <s v="DANIELA DO CARMO CAMPARA"/>
        <s v="FABIOLA DAL ROSSO"/>
        <s v="JOSIANE DE SOUZA MONTEIRO DOS SANTOS"/>
        <s v="THAMIRES IZIDORO DO NASCIMENTO SILVA"/>
        <s v="ANA CELIA PEREIRA SANTOS SILVA"/>
        <s v="JUCILENE CRISTINA LIMA SANTOS ANDRADE"/>
        <s v="MIRIAM DE SALLES BARBIERI"/>
        <s v="ANDREY COSTA DA ROCHA"/>
        <s v="HEVELINS CARVALHO DA SILVA"/>
        <s v="JOAO GUALBERTO BRAZ JUNIOR"/>
        <s v="LARISSA OLIVEIRA BARBOZA"/>
        <s v="THAINARA DO CARMO SANTOS"/>
        <s v="VIVIANE FAGUNDES DE MELLO"/>
        <s v="BRENO ROCHA HONORATO DA SILVA"/>
        <s v="LUANA SANTOS FURMANEK"/>
        <s v="WHANDERSON MATHEUS ARAUJO DA COSTA"/>
        <s v="ALISSON MONEGO PEREIRA"/>
        <s v="STELLA CORDEIRO ALVES"/>
        <s v="LUCIANE DA SILVA FONSECA PINHEIRO"/>
        <s v="RENATO SOUZA DO ESPIRITO SANTO LANGA"/>
        <s v="BRUNO EDUARDO LIMA SILVA"/>
        <s v="NAYRA BASTOS DA SILVA"/>
        <s v="GISELLE MORAES SCHNEIDER"/>
        <s v="LOSANGELA HONORIO DE OLIVEIRA"/>
        <s v="MARIA EDUARDA DELGADO MENESES"/>
        <s v="JOSE WELLINGTON DE SOUSA COSTA"/>
        <s v="ANDRESSA DA SILVA DA SILVA" u="1"/>
        <s v="BRUNA FERNANDA CARLOTA ALVES" u="1"/>
        <s v="GUILHERME DA SILVA RODRIGUES" u="1"/>
        <s v="LISIANE DE FATIMA BRAGA DA SILVA" u="1"/>
        <s v="REGIÃO CRISTIANE" u="1"/>
        <s v="REGIÃO MANAUS MAYARA" u="1"/>
        <s v="REGIÃO MAYARA" u="1"/>
        <m u="1"/>
      </sharedItems>
    </cacheField>
    <cacheField name="REGIONAL " numFmtId="0">
      <sharedItems/>
    </cacheField>
    <cacheField name="UF" numFmtId="0">
      <sharedItems count="23">
        <s v="SC"/>
        <s v="RS"/>
        <s v="SP"/>
        <s v="PR"/>
        <s v="CE"/>
        <s v="BA"/>
        <s v="AM"/>
        <s v="SE"/>
        <s v="AL"/>
        <s v="PE"/>
        <s v="PB"/>
        <s v="RN"/>
        <s v="GO"/>
        <s v="MA"/>
        <s v="PI"/>
        <s v="MS"/>
        <s v="MT"/>
        <s v="TO"/>
        <s v="MG"/>
        <s v="PA"/>
        <s v="AP"/>
        <s v="ES"/>
        <s v="RJ"/>
      </sharedItems>
    </cacheField>
    <cacheField name="ENDEREÇO" numFmtId="0">
      <sharedItems/>
    </cacheField>
    <cacheField name="BAIRRO" numFmtId="0">
      <sharedItems/>
    </cacheField>
    <cacheField name="CIDADE" numFmtId="0">
      <sharedItems/>
    </cacheField>
    <cacheField name="CEP" numFmtId="0">
      <sharedItems containsBlank="1" containsMixedTypes="1" containsNumber="1" containsInteger="1" minValue="0" maxValue="0"/>
    </cacheField>
    <cacheField name="DATA ABERt." numFmtId="14">
      <sharedItems containsNonDate="0" containsDate="1" containsString="0" containsBlank="1" minDate="2020-09-01T00:00:00" maxDate="2023-04-25T00:00:00"/>
    </cacheField>
    <cacheField name="DATA DE ABERTURA" numFmtId="0">
      <sharedItems containsDate="1" containsBlank="1" containsMixedTypes="1" minDate="1899-12-31T00:00:00" maxDate="2023-04-25T00:00:00"/>
    </cacheField>
    <cacheField name="QL" numFmtId="0">
      <sharedItems containsMixedTypes="1" containsNumber="1" containsInteger="1" minValue="3" maxValue="10"/>
    </cacheField>
    <cacheField name="REMUNERAÇÃO" numFmtId="0">
      <sharedItems containsBlank="1"/>
    </cacheField>
    <cacheField name="DISCADOR" numFmtId="0">
      <sharedItems containsBlank="1"/>
    </cacheField>
    <cacheField name="TRONCO?" numFmtId="0">
      <sharedItems containsBlank="1"/>
    </cacheField>
    <cacheField name="CC" numFmtId="0">
      <sharedItems containsString="0" containsBlank="1" containsNumber="1" containsInteger="1" minValue="13" maxValue="893"/>
    </cacheField>
    <cacheField name="CENTRO DE CUSTO" numFmtId="0">
      <sharedItems containsBlank="1"/>
    </cacheField>
    <cacheField name="ATIVA" numFmtId="0">
      <sharedItems containsBlank="1" count="3">
        <s v="S"/>
        <s v="N" u="1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nathan Moscardini da Silva" refreshedDate="45509.365378472219" createdVersion="8" refreshedVersion="8" minRefreshableVersion="3" recordCount="223" xr:uid="{00000000-000A-0000-FFFF-FFFF0D000000}">
  <cacheSource type="worksheet">
    <worksheetSource ref="A11:U11" sheet="LOJAS ATIVAS"/>
  </cacheSource>
  <cacheFields count="19">
    <cacheField name="CÓD" numFmtId="0">
      <sharedItems containsSemiMixedTypes="0" containsString="0" containsNumber="1" containsInteger="1" minValue="1400" maxValue="6000045"/>
    </cacheField>
    <cacheField name="LOJA" numFmtId="0">
      <sharedItems/>
    </cacheField>
    <cacheField name="SUPERVISOR" numFmtId="0">
      <sharedItems/>
    </cacheField>
    <cacheField name="COORDENADOR" numFmtId="0">
      <sharedItems count="35">
        <s v="ANA PICOLLI"/>
        <s v="DANIELA DO CARMO CAMPARA"/>
        <s v="FABIOLA DAL ROSSO"/>
        <s v="JOSIANE DE SOUZA MONTEIRO DOS SANTOS"/>
        <s v="THAMIRES IZIDORO DO NASCIMENTO SILVA"/>
        <s v="ANA CELIA PEREIRA SANTOS SILVA"/>
        <s v="JUCILENE CRISTINA LIMA SANTOS ANDRADE"/>
        <s v="MIRIAM DE SALLES BARBIERI"/>
        <s v="ANDREY COSTA DA ROCHA"/>
        <s v="HEVELINS CARVALHO DA SILVA"/>
        <s v="JOAO GUALBERTO BRAZ JUNIOR"/>
        <s v="LARISSA OLIVEIRA BARBOZA"/>
        <s v="THAINARA DO CARMO SANTOS"/>
        <s v="VIVIANE FAGUNDES DE MELLO"/>
        <s v="BRENO ROCHA HONORATO DA SILVA"/>
        <s v="LUANA SANTOS FURMANEK"/>
        <s v="WHANDERSON MATHEUS ARAUJO DA COSTA"/>
        <s v="ALISSON MONEGO PEREIRA"/>
        <s v="STELLA CORDEIRO ALVES"/>
        <s v="LUCIANE DA SILVA FONSECA PINHEIRO"/>
        <s v="RENATO SOUZA DO ESPIRITO SANTO LANGA"/>
        <s v="BRUNO EDUARDO LIMA SILVA"/>
        <s v="NAYRA BASTOS DA SILVA"/>
        <s v="GISELLE MORAES SCHNEIDER"/>
        <s v="LOSANGELA HONORIO DE OLIVEIRA"/>
        <s v="MARIA EDUARDA DELGADO MENESES"/>
        <s v="ANDRESSA DA SILVA DA SILVA" u="1"/>
        <s v="BRUNA FERNANDA CARLOTA ALVES" u="1"/>
        <s v="GUILHERME DA SILVA RODRIGUES" u="1"/>
        <s v="LISIANE DE FATIMA BRAGA DA SILVA" u="1"/>
        <s v="REGIÃO CRISTIANE" u="1"/>
        <s v="KELLY CRISTINA BORGES DE OLIVEIRA" u="1"/>
        <s v="REGIÃO MAYARA" u="1"/>
        <s v="ROSY DANIELE BATISTA SALES" u="1"/>
        <s v="SILVIA MARIA DOS SANTOS SOUZA CASTRO" u="1"/>
      </sharedItems>
    </cacheField>
    <cacheField name="REGIONAL " numFmtId="0">
      <sharedItems/>
    </cacheField>
    <cacheField name="UF" numFmtId="0">
      <sharedItems count="23">
        <s v="SC"/>
        <s v="RS"/>
        <s v="SP"/>
        <s v="PR"/>
        <s v="CE"/>
        <s v="BA"/>
        <s v="AM"/>
        <s v="SE"/>
        <s v="AL"/>
        <s v="PE"/>
        <s v="PB"/>
        <s v="RN"/>
        <s v="GO"/>
        <s v="MA"/>
        <s v="PI"/>
        <s v="MS"/>
        <s v="MT"/>
        <s v="TO"/>
        <s v="MG"/>
        <s v="PA"/>
        <s v="AP"/>
        <s v="ES"/>
        <s v="RJ"/>
      </sharedItems>
    </cacheField>
    <cacheField name="ENDEREÇO" numFmtId="0">
      <sharedItems/>
    </cacheField>
    <cacheField name="BAIRRO" numFmtId="0">
      <sharedItems/>
    </cacheField>
    <cacheField name="CIDADE" numFmtId="0">
      <sharedItems/>
    </cacheField>
    <cacheField name="CEP" numFmtId="0">
      <sharedItems containsBlank="1" containsMixedTypes="1" containsNumber="1" containsInteger="1" minValue="0" maxValue="0"/>
    </cacheField>
    <cacheField name="DATA ABERt." numFmtId="14">
      <sharedItems containsNonDate="0" containsDate="1" containsString="0" containsBlank="1" minDate="2020-09-01T00:00:00" maxDate="2023-04-25T00:00:00"/>
    </cacheField>
    <cacheField name="DATA DE ABERTURA" numFmtId="0">
      <sharedItems containsDate="1" containsBlank="1" containsMixedTypes="1" minDate="1899-12-31T00:00:00" maxDate="2023-04-25T00:00:00"/>
    </cacheField>
    <cacheField name="QL" numFmtId="0">
      <sharedItems containsMixedTypes="1" containsNumber="1" containsInteger="1" minValue="3" maxValue="10"/>
    </cacheField>
    <cacheField name="REMUNERAÇÃO" numFmtId="0">
      <sharedItems containsBlank="1"/>
    </cacheField>
    <cacheField name="DISCADOR" numFmtId="0">
      <sharedItems/>
    </cacheField>
    <cacheField name="TRONCO?" numFmtId="0">
      <sharedItems containsBlank="1"/>
    </cacheField>
    <cacheField name="CC" numFmtId="0">
      <sharedItems containsString="0" containsBlank="1" containsNumber="1" containsInteger="1" minValue="13" maxValue="893"/>
    </cacheField>
    <cacheField name="CENTRO DE CUSTO" numFmtId="0">
      <sharedItems containsBlank="1"/>
    </cacheField>
    <cacheField name="ATIVA" numFmtId="0">
      <sharedItems count="2">
        <s v="S"/>
        <s v="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nathan Moscardini da Silva" refreshedDate="45509.365378587965" createdVersion="6" refreshedVersion="8" minRefreshableVersion="3" recordCount="198" xr:uid="{00000000-000A-0000-FFFF-FFFF0E000000}">
  <cacheSource type="worksheet">
    <worksheetSource ref="A11:K11" sheet="LOJAS ATIVAS"/>
  </cacheSource>
  <cacheFields count="11">
    <cacheField name="CÓD" numFmtId="0">
      <sharedItems containsSemiMixedTypes="0" containsString="0" containsNumber="1" containsInteger="1" minValue="1400" maxValue="6000045"/>
    </cacheField>
    <cacheField name="LOJA" numFmtId="0">
      <sharedItems/>
    </cacheField>
    <cacheField name="SUPERVISOR" numFmtId="0">
      <sharedItems/>
    </cacheField>
    <cacheField name="COORDENADOR" numFmtId="0">
      <sharedItems count="38">
        <s v="ANA PICOLLI"/>
        <s v="DANIELA DO CARMO CAMPARA"/>
        <s v="FABIOLA DAL ROSSO"/>
        <s v="JOSIANE DE SOUZA MONTEIRO DOS SANTOS"/>
        <s v="THAMIRES IZIDORO DO NASCIMENTO SILVA"/>
        <s v="ANA CELIA PEREIRA SANTOS SILVA"/>
        <s v="JUCILENE CRISTINA LIMA SANTOS ANDRADE"/>
        <s v="MIRIAM DE SALLES BARBIERI"/>
        <s v="ANDREY COSTA DA ROCHA"/>
        <s v="HEVELINS CARVALHO DA SILVA"/>
        <s v="JOAO GUALBERTO BRAZ JUNIOR"/>
        <s v="LARISSA OLIVEIRA BARBOZA"/>
        <s v="THAINARA DO CARMO SANTOS"/>
        <s v="VIVIANE FAGUNDES DE MELLO"/>
        <s v="BRENO ROCHA HONORATO DA SILVA"/>
        <s v="LUANA SANTOS FURMANEK"/>
        <s v="WHANDERSON MATHEUS ARAUJO DA COSTA"/>
        <s v="ALISSON MONEGO PEREIRA"/>
        <s v="STELLA CORDEIRO ALVES"/>
        <s v="LUCIANE DA SILVA FONSECA PINHEIRO"/>
        <s v="RENATO SOUZA DO ESPIRITO SANTO LANGA"/>
        <s v="BRUNO EDUARDO LIMA SILVA"/>
        <s v="NAYRA BASTOS DA SILVA"/>
        <s v="N/D" u="1"/>
        <s v="MICHELE MARTINS DOS SANTOS" u="1"/>
        <s v="LUCIENE ALMEIDA DA SILVA" u="1"/>
        <s v="VALQUIRIA SANTOS DA CRUZ" u="1"/>
        <s v="MICHELE DE LIMA SAMPAIO" u="1"/>
        <s v="ANGELA CRISTINA DE MORAES" u="1"/>
        <s v="BRUNA FERNANDA CARLOTA ALVES" u="1"/>
        <s v="LISIANE DE FATIMA BRAGA DA SILVA" u="1"/>
        <s v="GISELLE MORAES SCHNEIDER" u="1"/>
        <s v="JOANA DARTE RIBEIRO DE ALMEIDA" u="1"/>
        <s v="SIDNEY JUNIOR DANTAS HAMADA " u="1"/>
        <s v="BIANCA THORMAM DA SILVA" u="1"/>
        <s v="SHAIENE DA CRUZ XAVIER" u="1"/>
        <s v="SIRLENE SANTOS DE SOUZA BARBOSA" u="1"/>
        <s v="JESSICA DOS SANTOS OLIVEIRA" u="1"/>
      </sharedItems>
    </cacheField>
    <cacheField name="REGIONAL " numFmtId="0">
      <sharedItems/>
    </cacheField>
    <cacheField name="UF" numFmtId="0">
      <sharedItems/>
    </cacheField>
    <cacheField name="ENDEREÇO" numFmtId="0">
      <sharedItems/>
    </cacheField>
    <cacheField name="BAIRRO" numFmtId="0">
      <sharedItems/>
    </cacheField>
    <cacheField name="CIDADE" numFmtId="0">
      <sharedItems/>
    </cacheField>
    <cacheField name="CEP" numFmtId="0">
      <sharedItems containsBlank="1" containsMixedTypes="1" containsNumber="1" containsInteger="1" minValue="0" maxValue="0"/>
    </cacheField>
    <cacheField name="DATA ABERt." numFmtId="14">
      <sharedItems containsNonDate="0" containsDate="1" containsString="0" containsBlank="1" minDate="2020-09-01T00:00:00" maxDate="2023-04-2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nathan Moscardini da Silva" refreshedDate="45509.365378935188" createdVersion="6" refreshedVersion="8" minRefreshableVersion="3" recordCount="198" xr:uid="{00000000-000A-0000-FFFF-FFFF0F000000}">
  <cacheSource type="worksheet">
    <worksheetSource ref="A11:M11" sheet="LOJAS ATIVAS"/>
  </cacheSource>
  <cacheFields count="13">
    <cacheField name="CÓD" numFmtId="0">
      <sharedItems containsSemiMixedTypes="0" containsString="0" containsNumber="1" containsInteger="1" minValue="1400" maxValue="6000045"/>
    </cacheField>
    <cacheField name="LOJA" numFmtId="0">
      <sharedItems/>
    </cacheField>
    <cacheField name="SUPERVISOR" numFmtId="0">
      <sharedItems/>
    </cacheField>
    <cacheField name="COORDENADOR" numFmtId="0">
      <sharedItems count="35">
        <s v="ANA PICOLLI"/>
        <s v="DANIELA DO CARMO CAMPARA"/>
        <s v="FABIOLA DAL ROSSO"/>
        <s v="JOSIANE DE SOUZA MONTEIRO DOS SANTOS"/>
        <s v="THAMIRES IZIDORO DO NASCIMENTO SILVA"/>
        <s v="ANA CELIA PEREIRA SANTOS SILVA"/>
        <s v="JUCILENE CRISTINA LIMA SANTOS ANDRADE"/>
        <s v="MIRIAM DE SALLES BARBIERI"/>
        <s v="ANDREY COSTA DA ROCHA"/>
        <s v="HEVELINS CARVALHO DA SILVA"/>
        <s v="JOAO GUALBERTO BRAZ JUNIOR"/>
        <s v="LARISSA OLIVEIRA BARBOZA"/>
        <s v="THAINARA DO CARMO SANTOS"/>
        <s v="VIVIANE FAGUNDES DE MELLO"/>
        <s v="BRENO ROCHA HONORATO DA SILVA"/>
        <s v="LUANA SANTOS FURMANEK"/>
        <s v="WHANDERSON MATHEUS ARAUJO DA COSTA"/>
        <s v="ALISSON MONEGO PEREIRA"/>
        <s v="STELLA CORDEIRO ALVES"/>
        <s v="LUCIANE DA SILVA FONSECA PINHEIRO"/>
        <s v="RENATO SOUZA DO ESPIRITO SANTO LANGA"/>
        <s v="BRUNO EDUARDO LIMA SILVA"/>
        <s v="NAYRA BASTOS DA SILVA"/>
        <s v="N/D" u="1"/>
        <s v="MICHELE MARTINS DOS SANTOS" u="1"/>
        <s v="LUCIENE ALMEIDA DA SILVA" u="1"/>
        <s v="VALQUIRIA SANTOS DA CRUZ" u="1"/>
        <s v="MICHELE DE LIMA SAMPAIO" u="1"/>
        <s v="ANGELA CRISTINA DE MORAES" u="1"/>
        <s v="BRUNA FERNANDA CARLOTA ALVES" u="1"/>
        <s v="GISELLE MORAES SCHNEIDER" u="1"/>
        <s v="JOANA DARTE RIBEIRO DE ALMEIDA" u="1"/>
        <s v="SIDNEY JUNIOR DANTAS HAMADA " u="1"/>
        <s v="SHAIENE DA CRUZ XAVIER" u="1"/>
        <s v="SIRLENE SANTOS DE SOUZA BARBOSA" u="1"/>
      </sharedItems>
    </cacheField>
    <cacheField name="REGIONAL " numFmtId="0">
      <sharedItems/>
    </cacheField>
    <cacheField name="UF" numFmtId="0">
      <sharedItems/>
    </cacheField>
    <cacheField name="ENDEREÇO" numFmtId="0">
      <sharedItems/>
    </cacheField>
    <cacheField name="BAIRRO" numFmtId="0">
      <sharedItems/>
    </cacheField>
    <cacheField name="CIDADE" numFmtId="0">
      <sharedItems/>
    </cacheField>
    <cacheField name="CEP" numFmtId="0">
      <sharedItems containsBlank="1" containsMixedTypes="1" containsNumber="1" containsInteger="1" minValue="0" maxValue="0"/>
    </cacheField>
    <cacheField name="DATA ABERt." numFmtId="14">
      <sharedItems containsNonDate="0" containsDate="1" containsString="0" containsBlank="1" minDate="2020-09-01T00:00:00" maxDate="2023-04-25T00:00:00"/>
    </cacheField>
    <cacheField name="DATA DE ABERTURA" numFmtId="0">
      <sharedItems containsDate="1" containsBlank="1" containsMixedTypes="1" minDate="1899-12-31T00:00:00" maxDate="2023-04-25T00:00:00"/>
    </cacheField>
    <cacheField name="QL" numFmtId="0">
      <sharedItems containsMixedTypes="1" containsNumber="1" containsInteger="1" minValue="3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">
  <r>
    <n v="20990"/>
    <x v="0"/>
    <s v="JESSICA DIAS ZUCHINALI SANTANA"/>
    <x v="0"/>
    <x v="0"/>
    <s v="SC"/>
    <s v="RUA DR.VIRGULINO DE QUEIROZ, 215 SALA 2"/>
    <s v="CENTRO"/>
    <s v="ARARANGUA"/>
    <s v="88900-009"/>
    <m/>
    <n v="0"/>
    <n v="4"/>
    <s v="SIM"/>
    <s v="VERSÁTIL"/>
    <s v="BASE ÚNICA"/>
    <n v="726"/>
    <s v="LOJA ARARANGUA - SC"/>
    <x v="0"/>
    <m/>
  </r>
  <r>
    <n v="2222"/>
    <x v="1"/>
    <s v="ARISON SAM DE OLIVEIRA NEVES"/>
    <x v="0"/>
    <x v="0"/>
    <s v="SC"/>
    <s v="RUA 900,  13"/>
    <s v="CENTRO"/>
    <s v="BALNEARIO CAMBORIU"/>
    <s v="88300-604"/>
    <m/>
    <n v="0"/>
    <n v="3"/>
    <s v="SIM"/>
    <s v="VERSÁTIL"/>
    <s v="BASE ÚNICA"/>
    <n v="777"/>
    <s v="LOJA BALNEARIO CAMBORIU - SC"/>
    <x v="0"/>
    <m/>
  </r>
  <r>
    <n v="2913"/>
    <x v="2"/>
    <s v="BRUNA KETLYN HELLGREN DE MOURA"/>
    <x v="0"/>
    <x v="0"/>
    <s v="SC"/>
    <s v="AVENIDA FERNANDO MACHADO, 380 D, SALA 01, EDIFÍCIO"/>
    <s v="CENTRO"/>
    <s v="CHAPECO"/>
    <s v="89802-110"/>
    <d v="2020-09-14T00:00:00"/>
    <d v="2020-09-14T00:00:00"/>
    <n v="5"/>
    <s v="SIM"/>
    <s v="VERSÁTIL"/>
    <s v="BASE ÚNICA"/>
    <n v="744"/>
    <s v="LOJA CHAPECÓ - SC"/>
    <x v="0"/>
    <m/>
  </r>
  <r>
    <n v="20987"/>
    <x v="3"/>
    <s v="JULIANA MARCELLO"/>
    <x v="0"/>
    <x v="0"/>
    <s v="SC"/>
    <s v="SAO JOSE 135/07, B"/>
    <s v="CENTRO"/>
    <s v="CRICIUMA"/>
    <s v="88801-520"/>
    <m/>
    <n v="0"/>
    <n v="6"/>
    <s v="SIM"/>
    <s v="VERSÁTIL"/>
    <s v="BASE ÚNICA"/>
    <n v="727"/>
    <s v="LOJA CRICIUMA - SC"/>
    <x v="0"/>
    <m/>
  </r>
  <r>
    <n v="10331"/>
    <x v="4"/>
    <s v="MAGDA LUISA DA SILVA"/>
    <x v="1"/>
    <x v="0"/>
    <s v="RS"/>
    <s v="AV. SETE DE SETEMBRO, Nº 483"/>
    <s v="CENTRO"/>
    <s v="ERECHIM"/>
    <s v="99700-000"/>
    <d v="2020-09-01T00:00:00"/>
    <d v="2020-09-01T00:00:00"/>
    <n v="4"/>
    <s v="SIM"/>
    <s v="VERSÁTIL"/>
    <s v="BASE ÚNICA"/>
    <n v="755"/>
    <s v="LOJA ERECHIM/RS"/>
    <x v="0"/>
    <m/>
  </r>
  <r>
    <n v="2802"/>
    <x v="5"/>
    <s v="DAIANE DA SILVA SOARES"/>
    <x v="0"/>
    <x v="0"/>
    <s v="SC"/>
    <s v="RUA DEODORO, 226 - SALA 101, EDIFÍCIO MARCO POLO"/>
    <s v="CENTRO"/>
    <s v="FLORIANOPOLIS"/>
    <s v="88010-020"/>
    <m/>
    <n v="0"/>
    <n v="5"/>
    <s v="SIM"/>
    <s v="VERSÁTIL"/>
    <s v="BASE ÚNICA"/>
    <n v="751"/>
    <s v="LOJA FLORIANOPOLIS - SC"/>
    <x v="0"/>
    <m/>
  </r>
  <r>
    <n v="200022"/>
    <x v="6"/>
    <s v="Sem supervisor"/>
    <x v="0"/>
    <x v="0"/>
    <s v="SC"/>
    <s v="RUA GIL STEIN FERREIRA, 303, SALA 1"/>
    <s v="CENTRO"/>
    <s v="ITAJAI"/>
    <s v="88301-210"/>
    <d v="2022-02-11T00:00:00"/>
    <d v="2022-02-11T00:00:00"/>
    <n v="4"/>
    <s v="NÃO"/>
    <s v="SONAVOIP"/>
    <s v="SONAVOIP"/>
    <n v="890"/>
    <s v="LOJA ITAJAI"/>
    <x v="0"/>
    <m/>
  </r>
  <r>
    <n v="20959"/>
    <x v="7"/>
    <s v="SAMARA CAROLINE FERREIRA"/>
    <x v="0"/>
    <x v="0"/>
    <s v="SC"/>
    <s v="dona Francisca 114"/>
    <s v="CENTRO "/>
    <s v="JOINVILLE"/>
    <s v="89201-250"/>
    <m/>
    <n v="0"/>
    <n v="7"/>
    <s v="NÃO"/>
    <s v="VERSÁTIL"/>
    <s v="BASE ÚNICA"/>
    <n v="705"/>
    <s v="LOJA JOINVILLE - SC"/>
    <x v="0"/>
    <m/>
  </r>
  <r>
    <n v="2921"/>
    <x v="8"/>
    <s v="DAYANE MENDES LEONEL MARCELINO"/>
    <x v="0"/>
    <x v="0"/>
    <s v="SC"/>
    <s v="AV ENGENHEIRO COLOMBO MACHADO SALES, N° 108"/>
    <s v="CENTRO"/>
    <s v="LAGUNA"/>
    <s v="88790-000"/>
    <d v="2020-10-05T00:00:00"/>
    <d v="2020-10-05T00:00:00"/>
    <n v="3"/>
    <s v="SIM"/>
    <s v="VERSÁTIL"/>
    <s v="BASE ÚNICA"/>
    <n v="811"/>
    <s v="LOJA LAGUNA - SC"/>
    <x v="0"/>
    <m/>
  </r>
  <r>
    <n v="2918"/>
    <x v="9"/>
    <s v="LUCIENE DOS SANTOS CARLOS"/>
    <x v="0"/>
    <x v="0"/>
    <s v="SC"/>
    <s v="AVENIDA BARÃO DO RIO BRANCO, Nº 56"/>
    <s v="CENTRO"/>
    <s v="PALHOCA"/>
    <s v="88130-101"/>
    <d v="2020-10-05T00:00:00"/>
    <d v="2020-10-05T00:00:00"/>
    <n v="5"/>
    <s v="SIM"/>
    <s v="VERSÁTIL"/>
    <s v="BASE ÚNICA"/>
    <n v="810"/>
    <s v="LOJA PALHOÇA - SC"/>
    <x v="0"/>
    <s v="S"/>
  </r>
  <r>
    <n v="2945"/>
    <x v="10"/>
    <s v="GEISA PEREIRA DE SOUSA"/>
    <x v="0"/>
    <x v="0"/>
    <s v="SC"/>
    <s v="RUA: DINARTE DOMINGUES,543 LOJA 07"/>
    <s v="CAMPINAS"/>
    <s v="SAO JOSE"/>
    <s v="88101-070"/>
    <m/>
    <n v="0"/>
    <n v="3"/>
    <s v="SIM"/>
    <s v="VERSÁTIL"/>
    <s v="BASE ÚNICA"/>
    <n v="849"/>
    <s v="LOJA SAO JOSE - SC"/>
    <x v="0"/>
    <m/>
  </r>
  <r>
    <n v="20989"/>
    <x v="11"/>
    <s v="VANESSA ANDRADE LIMA DE SOUZA"/>
    <x v="0"/>
    <x v="0"/>
    <s v="SC"/>
    <s v="AV RODOVALHO, 12 SALA 02"/>
    <s v="CENTRO"/>
    <s v="TUBARAO"/>
    <s v="88701-170"/>
    <m/>
    <n v="0"/>
    <n v="5"/>
    <s v="SIM"/>
    <s v="VERSÁTIL"/>
    <s v="BASE ÚNICA"/>
    <n v="728"/>
    <s v="LOJA TUBARAO - SC"/>
    <x v="0"/>
    <m/>
  </r>
  <r>
    <n v="10332"/>
    <x v="12"/>
    <s v="ANDERSON SANDERSON TURELA"/>
    <x v="1"/>
    <x v="0"/>
    <s v="RS"/>
    <s v="AV FLORES DA CUNHA, 1184 - SALA 101"/>
    <s v="CENTRO"/>
    <s v="CARAZINHO"/>
    <s v="99500-000"/>
    <d v="2020-09-01T00:00:00"/>
    <d v="2020-09-01T00:00:00"/>
    <n v="3"/>
    <s v="SIM"/>
    <s v="VERSÁTIL"/>
    <s v="BASE ÚNICA"/>
    <n v="756"/>
    <s v="LOJA CARAZINHO - RS"/>
    <x v="0"/>
    <m/>
  </r>
  <r>
    <n v="19715"/>
    <x v="13"/>
    <s v="Sem supervisor"/>
    <x v="1"/>
    <x v="0"/>
    <s v="RS"/>
    <s v="RUA PINHEIRO MACHADO 865, SL 1"/>
    <s v="CENTRO"/>
    <s v="CRUZ ALTA"/>
    <s v="98005-000"/>
    <m/>
    <n v="0"/>
    <n v="4"/>
    <s v="NÃO"/>
    <s v="VERSÁTIL"/>
    <s v="BASE ÚNICA"/>
    <n v="721"/>
    <s v="LOJA CRUZ ALTA"/>
    <x v="0"/>
    <m/>
  </r>
  <r>
    <n v="1423"/>
    <x v="14"/>
    <s v="ALINE SAULIT DA SILVEIRA"/>
    <x v="2"/>
    <x v="0"/>
    <s v="RS"/>
    <s v="RUA 15 DE NOVEMBRO, 217 - SALA 01"/>
    <s v="CENTRO"/>
    <s v="IJUI"/>
    <s v="98700-000"/>
    <m/>
    <n v="0"/>
    <n v="5"/>
    <s v="NÃO"/>
    <s v="VERSÁTIL"/>
    <s v="TRONCO"/>
    <n v="612"/>
    <s v="LOJA IJUI I/RS"/>
    <x v="0"/>
    <m/>
  </r>
  <r>
    <n v="19777"/>
    <x v="15"/>
    <s v="TIEREN ROQUE IUNG"/>
    <x v="1"/>
    <x v="0"/>
    <s v="RS"/>
    <s v="R. INDEPENDÊNCIA, 684 "/>
    <s v="CENTRO"/>
    <s v="PASSO FUNDO"/>
    <s v="99010-040"/>
    <m/>
    <n v="0"/>
    <n v="3"/>
    <s v="NÃO"/>
    <s v="VERSÁTIL"/>
    <s v="TRONCO"/>
    <n v="297"/>
    <s v="LOJA PASSO FUNDO - RS"/>
    <x v="0"/>
    <m/>
  </r>
  <r>
    <n v="10333"/>
    <x v="16"/>
    <s v="EDSON JOEL CAVALHEIRO"/>
    <x v="1"/>
    <x v="0"/>
    <s v="RS"/>
    <s v="RUA CEL. CHICUTA, Nº 436, LOJA 8"/>
    <s v="CENTRO"/>
    <s v="PASSO FUNDO"/>
    <s v="99010-051"/>
    <d v="2020-09-08T00:00:00"/>
    <d v="2020-09-08T00:00:00"/>
    <n v="5"/>
    <s v="SIM"/>
    <s v="VERSÁTIL"/>
    <s v="TRONCO"/>
    <n v="809"/>
    <s v="LOJA PASSO FUNDO 2 - RS"/>
    <x v="0"/>
    <m/>
  </r>
  <r>
    <n v="10650"/>
    <x v="17"/>
    <s v="ANA PAULA BAGETI"/>
    <x v="2"/>
    <x v="0"/>
    <s v="RS"/>
    <s v="RUA CRISTÓVÃO COLOMBO, 325 - LOJA 01"/>
    <s v="CENTRO"/>
    <s v="SANTA ROSA"/>
    <s v="98780-106"/>
    <m/>
    <n v="0"/>
    <n v="5"/>
    <s v="NÃO"/>
    <s v="VERSÁTIL"/>
    <s v="BASE ÚNICA"/>
    <n v="413"/>
    <s v="LOJA SANTA ROSA"/>
    <x v="0"/>
    <m/>
  </r>
  <r>
    <n v="19709"/>
    <x v="18"/>
    <s v="LUCIMARA ROSALDA EICH"/>
    <x v="2"/>
    <x v="0"/>
    <s v="RS"/>
    <s v="RUA 25 DE JULHO 584, SL 3"/>
    <s v="CENTRO"/>
    <s v="SANTO ANGELO"/>
    <s v="98801-670"/>
    <m/>
    <n v="0"/>
    <n v="5"/>
    <s v="NÃO"/>
    <s v="VERSÁTIL"/>
    <s v="BASE ÚNICA"/>
    <n v="717"/>
    <s v="LOJA SANTO ANGELO"/>
    <x v="0"/>
    <m/>
  </r>
  <r>
    <n v="19890"/>
    <x v="19"/>
    <s v="Sem supervisor"/>
    <x v="1"/>
    <x v="0"/>
    <s v="RS"/>
    <s v="AV MAL FLORIANO PEIXOTO, 1063"/>
    <s v="CENTRO"/>
    <s v="SOLEDADE"/>
    <s v="99300-000"/>
    <m/>
    <n v="0"/>
    <n v="4"/>
    <s v="NÃO"/>
    <s v="SONAVOIP"/>
    <s v="SONAVOIP"/>
    <n v="709"/>
    <s v="LOJA SOLEDADE"/>
    <x v="0"/>
    <m/>
  </r>
  <r>
    <n v="10201"/>
    <x v="20"/>
    <s v="JESSICA RODRIGUES BENCKE GUTERRES"/>
    <x v="2"/>
    <x v="0"/>
    <s v="RS"/>
    <s v="R VASCO ALVES, 184 - SALA 3"/>
    <s v="CENTRO"/>
    <s v="ALEGRETE"/>
    <s v="97542-600"/>
    <m/>
    <n v="0"/>
    <n v="4"/>
    <s v="NÃO"/>
    <s v="VERSÁTIL"/>
    <s v="BASE ÚNICA"/>
    <n v="729"/>
    <s v="LOJA ALEGRETE - RS"/>
    <x v="0"/>
    <m/>
  </r>
  <r>
    <n v="1407"/>
    <x v="21"/>
    <s v="JESSICA DE ALMEIDA OLIVEIRA"/>
    <x v="1"/>
    <x v="0"/>
    <s v="RS"/>
    <s v="SETE DE SETEMBRO, Nº 1438"/>
    <s v="CENTRO"/>
    <s v="CACHOEIRA DO SUL"/>
    <s v="96508-010"/>
    <m/>
    <n v="0"/>
    <n v="5"/>
    <s v="NÃO"/>
    <s v="VERSÁTIL"/>
    <s v="BASE ÚNICA"/>
    <n v="636"/>
    <s v="LOJA CACHOEIRA DO SUL/RS"/>
    <x v="0"/>
    <m/>
  </r>
  <r>
    <n v="10600"/>
    <x v="22"/>
    <s v="DEBORA MENDES DE FREITAS"/>
    <x v="2"/>
    <x v="0"/>
    <s v="RS"/>
    <s v="RUA BORGES DO CANTO,  Nº 1056"/>
    <s v="CENTRO"/>
    <s v="ITAQUI"/>
    <s v="97650-000"/>
    <m/>
    <n v="0"/>
    <n v="3"/>
    <s v="NÃO"/>
    <s v="SONAVOIP"/>
    <s v="SONAVOIP"/>
    <n v="763"/>
    <s v="LOJA ITAQUI/RS"/>
    <x v="0"/>
    <m/>
  </r>
  <r>
    <n v="19710"/>
    <x v="23"/>
    <s v="SARA GRACIELE DE OLIVEIRA VELASQUES"/>
    <x v="2"/>
    <x v="0"/>
    <s v="RS"/>
    <s v="RUA MARECHAL FLORIANO PEIXOTO 2401"/>
    <s v="CENTRO"/>
    <s v="ROSARIO DO SUL"/>
    <s v="97590-000"/>
    <m/>
    <n v="0"/>
    <n v="5"/>
    <s v="NÃO"/>
    <s v="SONAVOIP"/>
    <s v="SONAVOIP"/>
    <n v="718"/>
    <s v="LOJA ROSARIO DO SUL"/>
    <x v="0"/>
    <m/>
  </r>
  <r>
    <n v="1449"/>
    <x v="24"/>
    <s v="DEBORA LOPES FROHNHOFER"/>
    <x v="1"/>
    <x v="0"/>
    <s v="RS"/>
    <s v="RUA VENANCIO AIRES, Nº 1745 -LOJA B"/>
    <s v="CENTRO"/>
    <s v="SANTA MARIA"/>
    <s v="97010-003"/>
    <m/>
    <n v="0"/>
    <n v="6"/>
    <s v="NÃO"/>
    <s v="VERSÁTIL"/>
    <s v="BASE ÚNICA"/>
    <n v="621"/>
    <s v="LOJA SANTA MARIA/RS"/>
    <x v="0"/>
    <m/>
  </r>
  <r>
    <n v="10604"/>
    <x v="25"/>
    <s v="FABIOLA DAL ROSSO"/>
    <x v="2"/>
    <x v="0"/>
    <s v="RS"/>
    <s v="RUA PINHEIRO MACHADO, 2034"/>
    <s v="CENTRO"/>
    <s v="SANTIAGO"/>
    <s v="97700-215"/>
    <m/>
    <n v="0"/>
    <n v="4"/>
    <s v="NÃO"/>
    <s v="SONAVOIP"/>
    <s v="SONAVOIP"/>
    <n v="768"/>
    <s v="LOJA SANTIAGO II"/>
    <x v="0"/>
    <m/>
  </r>
  <r>
    <n v="10897"/>
    <x v="26"/>
    <s v="SIDIANE FALCAO ARDAIS"/>
    <x v="2"/>
    <x v="0"/>
    <s v="RS"/>
    <s v="RUA CANDIDO FALCÃO, Nº 1086"/>
    <s v="CENTRO"/>
    <s v="SAO BORJA"/>
    <s v="97670-000"/>
    <m/>
    <n v="0"/>
    <n v="4"/>
    <s v="NÃO"/>
    <s v="VERSÁTIL"/>
    <s v="BASE ÚNICA"/>
    <n v="734"/>
    <s v="LOJA SAO BORJA - RS"/>
    <x v="0"/>
    <m/>
  </r>
  <r>
    <n v="10330"/>
    <x v="27"/>
    <s v="JESSICA VENUTA DE RODRIGUES NEVES"/>
    <x v="2"/>
    <x v="0"/>
    <s v="RS"/>
    <s v="CORONEL SEZEFREDO Nº 791"/>
    <s v="CENTRO"/>
    <s v="SAO GABRIEL"/>
    <s v="97300-222"/>
    <d v="2020-09-21T00:00:00"/>
    <d v="2020-09-21T00:00:00"/>
    <n v="3"/>
    <s v="NÃO"/>
    <s v="VERSÁTIL"/>
    <s v="BASE ÚNICA"/>
    <n v="760"/>
    <s v="LOJA SAO GABRIEL/RS"/>
    <x v="0"/>
    <m/>
  </r>
  <r>
    <n v="1485"/>
    <x v="28"/>
    <s v="ELIZANGELA DE OLIVEIRA WITT"/>
    <x v="2"/>
    <x v="0"/>
    <s v="RS"/>
    <s v="SANTANA Nº 2800"/>
    <s v="CENTRO"/>
    <s v="URUGUAIANA"/>
    <s v="97501-504"/>
    <m/>
    <n v="0"/>
    <n v="5"/>
    <s v="NÃO"/>
    <s v="VERSÁTIL"/>
    <s v="BASE ÚNICA"/>
    <n v="190"/>
    <s v="LOJA URUGUAIANA/RS"/>
    <x v="0"/>
    <m/>
  </r>
  <r>
    <n v="1487"/>
    <x v="29"/>
    <s v="LEONARA FABRICIA DOS SANTOS"/>
    <x v="3"/>
    <x v="0"/>
    <s v="RS"/>
    <s v="AV BRASIL 3054 SALA 3 A"/>
    <s v="CENTRO"/>
    <s v="CAMPO BOM"/>
    <s v="93700-000"/>
    <m/>
    <n v="0"/>
    <n v="4"/>
    <s v="NÃO"/>
    <s v="VERSÁTIL"/>
    <s v="BASE ÚNICA"/>
    <n v="189"/>
    <s v="LOJA CAMPO BOM/RS"/>
    <x v="0"/>
    <m/>
  </r>
  <r>
    <n v="1416"/>
    <x v="30"/>
    <s v="JONAS DIAS DA SILVEIRA"/>
    <x v="3"/>
    <x v="0"/>
    <s v="RS"/>
    <s v="RUA 1º DE JUNHO, 141 - SALA 01"/>
    <s v="CENTRO"/>
    <s v="IGREJINHA"/>
    <s v="95650-000"/>
    <m/>
    <n v="0"/>
    <n v="3"/>
    <s v="NÃO"/>
    <s v="SONAVOIP"/>
    <s v="SONAVOIP"/>
    <n v="631"/>
    <s v="LOJA IGREJINHA/RS"/>
    <x v="0"/>
    <m/>
  </r>
  <r>
    <n v="1500"/>
    <x v="31"/>
    <s v="CASSIA DA SILVA SILVEIRA"/>
    <x v="3"/>
    <x v="0"/>
    <s v="RS"/>
    <s v="AV. ASSIS BRASIL, 2654 - LOJA 07"/>
    <s v="CRISTO REDENTOR"/>
    <s v="PORTO ALEGRE"/>
    <s v="91060-290"/>
    <m/>
    <n v="0"/>
    <n v="5"/>
    <s v="NÃO"/>
    <s v="SONAVOIP"/>
    <s v="SONAVOIP"/>
    <n v="500"/>
    <s v="LOJA ASSIS BRASIL - RS"/>
    <x v="0"/>
    <m/>
  </r>
  <r>
    <n v="19778"/>
    <x v="32"/>
    <s v="SHAIENE DA CRUZ XAVIER"/>
    <x v="3"/>
    <x v="0"/>
    <s v="RS"/>
    <s v="VIGÁRIO JOSE INÁCIO, 258"/>
    <s v="CENTRO HISTÓRICO"/>
    <s v="PORTO ALEGRE"/>
    <s v="90020-100"/>
    <m/>
    <n v="0"/>
    <n v="10"/>
    <s v="NÃO"/>
    <s v="SONAVOIP"/>
    <s v="SONAVOIP"/>
    <n v="303"/>
    <s v="LOJA VIGARIO II"/>
    <x v="0"/>
    <m/>
  </r>
  <r>
    <n v="1424"/>
    <x v="33"/>
    <s v="DEBORA DAIANA MARTINI"/>
    <x v="3"/>
    <x v="0"/>
    <s v="RS"/>
    <s v="AV. BORGES DE MEDEIROS, 1909"/>
    <s v="CENTRO"/>
    <s v="ROLANTE"/>
    <s v="95690-000"/>
    <m/>
    <n v="0"/>
    <n v="3"/>
    <s v="NÃO"/>
    <s v="SONAVOIP"/>
    <s v="SONAVOIP"/>
    <n v="424"/>
    <s v="LOJA ROLANTE/RS"/>
    <x v="0"/>
    <m/>
  </r>
  <r>
    <n v="1427"/>
    <x v="34"/>
    <s v="LUCAS GABRIEL FAGUNDES DE SOUZA DA SILVA"/>
    <x v="3"/>
    <x v="0"/>
    <s v="RS"/>
    <s v="AV.PAULO MACIEL DE MORAES 1040"/>
    <s v="CENTRO"/>
    <s v="SANTO ANTONIO DA PATRULHA"/>
    <s v="95500-000"/>
    <m/>
    <n v="0"/>
    <n v="3"/>
    <s v="NÃO"/>
    <s v="SONAVOIP"/>
    <s v="SONAVOIP"/>
    <n v="624"/>
    <s v="LOJA SANTO ANTONIO DA PATRULHA/RS"/>
    <x v="0"/>
    <m/>
  </r>
  <r>
    <n v="1403"/>
    <x v="35"/>
    <s v="KAREN FRANCIELEN RODRIGUES JARDIM"/>
    <x v="3"/>
    <x v="0"/>
    <s v="RS"/>
    <s v="AV VINTE DE SETEMBRO, 3801 SALA 06"/>
    <s v="CENTRO"/>
    <s v="SAPIRANGA"/>
    <s v="93800-238"/>
    <m/>
    <n v="0"/>
    <n v="3"/>
    <s v="NÃO"/>
    <s v="VERSÁTIL"/>
    <s v="BASE ÚNICA"/>
    <n v="407"/>
    <s v="LOJA SAPIRANGA/RS"/>
    <x v="0"/>
    <m/>
  </r>
  <r>
    <n v="1420"/>
    <x v="36"/>
    <s v="LUIZ HENRIQUE BRANDALIZE"/>
    <x v="3"/>
    <x v="0"/>
    <s v="RS"/>
    <s v="RUA GUILHERME LAHN, 1282"/>
    <s v="CENTRO"/>
    <s v="TAQUARA"/>
    <s v="95600-104"/>
    <m/>
    <n v="0"/>
    <n v="5"/>
    <s v="NÃO"/>
    <s v="VERSÁTIL"/>
    <s v="BASE ÚNICA"/>
    <n v="614"/>
    <s v="LOJA TAQUARA/RS"/>
    <x v="0"/>
    <m/>
  </r>
  <r>
    <n v="1497"/>
    <x v="37"/>
    <s v="JULIE BARBOSA"/>
    <x v="3"/>
    <x v="0"/>
    <s v="RS"/>
    <s v="XV DE NOVEMBRO 212 LOJA 01"/>
    <s v="CENTRO"/>
    <s v="TORRES"/>
    <s v="95560-000"/>
    <m/>
    <n v="0"/>
    <n v="3"/>
    <s v="SIM"/>
    <s v="SONAVOIP"/>
    <s v="SONAVOIP"/>
    <n v="723"/>
    <s v="LOJA TORRES - RS"/>
    <x v="0"/>
    <m/>
  </r>
  <r>
    <n v="1496"/>
    <x v="38"/>
    <s v="MIKE SANTOLIN DA SILVA"/>
    <x v="3"/>
    <x v="0"/>
    <s v="RS"/>
    <s v="FERNANDES BASTOS 329 SALA 28 E 29"/>
    <s v="CENTRO"/>
    <s v="TRAMANDAI"/>
    <s v="95590-000"/>
    <m/>
    <n v="0"/>
    <n v="5"/>
    <s v="NÃO"/>
    <s v="SONAVOIP"/>
    <s v="SONAVOIP"/>
    <n v="724"/>
    <s v="LOJA TRAMANDAÍ"/>
    <x v="0"/>
    <m/>
  </r>
  <r>
    <n v="19714"/>
    <x v="39"/>
    <s v="RAFAEL LEMOS"/>
    <x v="3"/>
    <x v="0"/>
    <s v="RS"/>
    <s v="RUA MUNDO NOVO 188"/>
    <s v="CENTRO"/>
    <s v="TRES COROAS"/>
    <s v="95660-000"/>
    <m/>
    <n v="0"/>
    <n v="3"/>
    <s v="NÃO"/>
    <s v="SONAVOIP"/>
    <s v="SONAVOIP"/>
    <n v="720"/>
    <s v="LOJA TRES COROAS"/>
    <x v="0"/>
    <m/>
  </r>
  <r>
    <n v="1402"/>
    <x v="40"/>
    <s v="MICHELE MARTINS DOS SANTOS"/>
    <x v="4"/>
    <x v="0"/>
    <s v="RS"/>
    <s v="RUA TIRADENTES, 216 - LOJA 06"/>
    <s v="CENTRO"/>
    <s v="CANOAS"/>
    <s v="92010-260"/>
    <m/>
    <n v="0"/>
    <n v="6"/>
    <s v="NÃO"/>
    <s v="VERSÁTIL"/>
    <s v="TRONCO"/>
    <n v="402"/>
    <s v="LOJA CANOAS/RS"/>
    <x v="0"/>
    <m/>
  </r>
  <r>
    <n v="1458"/>
    <x v="41"/>
    <s v="FABIELI DE ARAUJO VIEIRA MARTINS"/>
    <x v="4"/>
    <x v="0"/>
    <s v="RS"/>
    <s v="RUA BOQUEIRÃO Nº 706 SALA 02"/>
    <s v="GUAJUVIRAS"/>
    <s v="CANOAS"/>
    <s v="92032-420"/>
    <m/>
    <n v="0"/>
    <n v="4"/>
    <s v="NÃO"/>
    <s v="VERSÁTIL"/>
    <s v="TRONCO"/>
    <n v="284"/>
    <s v="LOJA CANOAS - GUAJUVIRAS/RS"/>
    <x v="0"/>
    <m/>
  </r>
  <r>
    <n v="1421"/>
    <x v="42"/>
    <s v="JIANINI DA SILVA MARIN"/>
    <x v="4"/>
    <x v="0"/>
    <s v="RS"/>
    <s v="AV. PRESIDENTE VARGAS,2123"/>
    <s v="CENTRO"/>
    <s v="ESTEIO"/>
    <s v="93270-580"/>
    <m/>
    <n v="0"/>
    <n v="7"/>
    <s v="NÃO"/>
    <s v="VERSÁTIL"/>
    <s v="BASE ÚNICA"/>
    <n v="630"/>
    <s v="LOJA ESTEIO/RS"/>
    <x v="0"/>
    <m/>
  </r>
  <r>
    <n v="1476"/>
    <x v="43"/>
    <s v="JESSICA LUANA SIQUEIRA COELHO"/>
    <x v="4"/>
    <x v="0"/>
    <s v="RS"/>
    <s v="AV CALCADAO OSVALDO CRUZ, 127"/>
    <s v="CENTRO"/>
    <s v="NOVO HAMBURGO"/>
    <s v="93510-015"/>
    <m/>
    <n v="0"/>
    <n v="6"/>
    <s v="NÃO"/>
    <s v="VERSÁTIL"/>
    <s v="TRONCO"/>
    <n v="163"/>
    <s v="LOJA NOVO HAMBURGO/RS"/>
    <x v="0"/>
    <m/>
  </r>
  <r>
    <n v="10678"/>
    <x v="44"/>
    <s v="ALEX SANDER MAUZER MACEDO"/>
    <x v="4"/>
    <x v="0"/>
    <s v="RS"/>
    <s v="RUA BENTO GONÇALVES, 2423, SALA 01"/>
    <s v="CENTRO"/>
    <s v="NOVO HAMBURGO"/>
    <s v="93510-000"/>
    <m/>
    <n v="0"/>
    <n v="5"/>
    <s v="NÃO"/>
    <s v="VERSÁTIL"/>
    <s v="TRONCO"/>
    <n v="780"/>
    <s v="LOJA NOVO HAMBURGO II/RS"/>
    <x v="0"/>
    <m/>
  </r>
  <r>
    <n v="1417"/>
    <x v="45"/>
    <s v="FERNANDA COSTA DA ROCHA "/>
    <x v="4"/>
    <x v="0"/>
    <s v="RS"/>
    <s v="RUA INDEPENDENCIA, 636 - LOJA 6"/>
    <s v="CENTRO"/>
    <s v="SAO LEOPOLDO"/>
    <s v="93010-002"/>
    <m/>
    <n v="0"/>
    <n v="5"/>
    <s v="NÃO"/>
    <s v="VERSÁTIL"/>
    <s v="TRONCO"/>
    <n v="417"/>
    <s v="LOJA SAO LEOPOLDO"/>
    <x v="0"/>
    <m/>
  </r>
  <r>
    <n v="10627"/>
    <x v="46"/>
    <s v="MARISANGELA SCHIEFELBEIN"/>
    <x v="4"/>
    <x v="0"/>
    <s v="RS"/>
    <s v="RUA LINDOLFO COLLOR, Nº 789 SALA 1"/>
    <s v="CENTRO"/>
    <s v="SAO LEOPOLDO"/>
    <s v="93010-080"/>
    <m/>
    <n v="0"/>
    <n v="5"/>
    <s v="NÃO"/>
    <s v="VERSÁTIL"/>
    <s v="TRONCO"/>
    <n v="774"/>
    <s v="LOJA SAO LEOPOLDO II"/>
    <x v="0"/>
    <m/>
  </r>
  <r>
    <n v="1418"/>
    <x v="47"/>
    <s v="MAGLUSON SCHARDONG MATOZO"/>
    <x v="4"/>
    <x v="0"/>
    <s v="RS"/>
    <s v="RUA: CEL. JOÃO CORRÊA, 23 LOJA 05"/>
    <s v="CENTRO"/>
    <s v="SAPUCAIA DO SUL"/>
    <s v="93220-100"/>
    <m/>
    <n v="0"/>
    <n v="6"/>
    <s v="NÃO"/>
    <s v="VERSÁTIL"/>
    <s v="TRONCO"/>
    <n v="418"/>
    <s v="LOJA SAPUCAIA DO SUL/RS"/>
    <x v="0"/>
    <m/>
  </r>
  <r>
    <n v="1419"/>
    <x v="48"/>
    <s v="BRUNA DE ARAUJO VIEIRA DA ROSA"/>
    <x v="4"/>
    <x v="0"/>
    <s v="RS"/>
    <s v="AVENIDA SAPUCAIA, 2089 "/>
    <s v="CENTRO"/>
    <s v="SAPUCAIA DO SUL"/>
    <s v="93210-240"/>
    <m/>
    <n v="0"/>
    <n v="5"/>
    <s v="NÃO"/>
    <s v="VERSÁTIL"/>
    <s v="TRONCO"/>
    <n v="730"/>
    <s v="LOJA SAPUCAIA DO SUL II/RS"/>
    <x v="0"/>
    <m/>
  </r>
  <r>
    <n v="600076"/>
    <x v="49"/>
    <s v="JOSE ULISSES FELIX DA SILVA"/>
    <x v="5"/>
    <x v="1"/>
    <s v="SP"/>
    <s v="RUA NOSSA SENHORA DAS VITORIAS, 79"/>
    <s v="CENTRO"/>
    <s v="DIADEMA"/>
    <s v="09910-140"/>
    <d v="2022-03-28T00:00:00"/>
    <d v="2022-03-28T00:00:00"/>
    <n v="5"/>
    <s v="NÃO"/>
    <s v="SONAVOIP"/>
    <s v="SONAVOIP"/>
    <n v="468"/>
    <s v="LOJA DIADEMA - SP"/>
    <x v="0"/>
    <m/>
  </r>
  <r>
    <n v="600075"/>
    <x v="50"/>
    <s v="CINDY MAGALI DE SANTO DELGADO"/>
    <x v="5"/>
    <x v="1"/>
    <s v="SP"/>
    <s v="RUA RUI BARBOSA, 35"/>
    <s v="CENTRO"/>
    <s v="MAUA"/>
    <s v="09390-000"/>
    <d v="2022-04-11T00:00:00"/>
    <d v="2022-04-11T00:00:00"/>
    <n v="4"/>
    <s v="NÃO"/>
    <s v="SONAVOIP"/>
    <s v="SONAVOIP"/>
    <n v="466"/>
    <s v="LOJA MAUA - SP"/>
    <x v="0"/>
    <m/>
  </r>
  <r>
    <n v="600080"/>
    <x v="51"/>
    <s v="SIDNEY GOMES JUNIOR"/>
    <x v="6"/>
    <x v="1"/>
    <s v="SP"/>
    <s v="RUA JOSÉ BONIFACIO, 178"/>
    <s v="CENTRO"/>
    <s v="MOGI DAS CRUZES"/>
    <s v="08710-070"/>
    <d v="2022-04-04T00:00:00"/>
    <d v="2022-04-04T00:00:00"/>
    <n v="5"/>
    <s v="NÃO"/>
    <s v="SONAVOIP"/>
    <s v="SONAVOIP"/>
    <n v="886"/>
    <s v="LOJA MOGI DAS CRUZES"/>
    <x v="0"/>
    <m/>
  </r>
  <r>
    <n v="5503"/>
    <x v="52"/>
    <s v="LETICIA URBANO DE JESUS NEVES"/>
    <x v="5"/>
    <x v="1"/>
    <s v="SP"/>
    <s v="RUA DR VICENTE DE CARVALHO, 531 LOJA 4"/>
    <s v="OCIAN"/>
    <s v="PRAIA GRANDE"/>
    <s v="11704-300"/>
    <m/>
    <n v="0"/>
    <n v="3"/>
    <s v="NÃO"/>
    <s v="VERSÁTIL"/>
    <s v="BASE ÚNICA"/>
    <n v="81"/>
    <s v="LOJA PRAIA GRANDE/SP"/>
    <x v="0"/>
    <m/>
  </r>
  <r>
    <n v="600077"/>
    <x v="53"/>
    <s v="ELAINE CRISTINA ALVES DA SILVA"/>
    <x v="5"/>
    <x v="1"/>
    <s v="SP"/>
    <s v="RUA CORONEL FRANCISCO AMARO, 267, SL 2 EDIF. FRANC"/>
    <s v="CENTRO"/>
    <s v="SANTO ANDRE"/>
    <s v="09020-250"/>
    <d v="2022-04-26T00:00:00"/>
    <d v="2022-04-26T00:00:00"/>
    <n v="6"/>
    <s v="NÃO"/>
    <s v="SONAVOIP"/>
    <s v="SONAVOIP"/>
    <n v="893"/>
    <s v="LOJA SANTO ANDRE - SP"/>
    <x v="0"/>
    <m/>
  </r>
  <r>
    <n v="50731"/>
    <x v="54"/>
    <s v="SILVANA DE FATIMA CENCI"/>
    <x v="5"/>
    <x v="1"/>
    <s v="SP"/>
    <s v="RUA FREI GASPAR, 83"/>
    <s v="CENTRO"/>
    <s v="SANTOS"/>
    <s v="11010-090"/>
    <m/>
    <n v="0"/>
    <n v="5"/>
    <s v="NÃO"/>
    <s v="VERSÁTIL"/>
    <s v="BASE ÚNICA"/>
    <n v="291"/>
    <s v="LOJA SANTOS/SP"/>
    <x v="0"/>
    <m/>
  </r>
  <r>
    <n v="600078"/>
    <x v="55"/>
    <s v="JOAO GABRIEL SANTANA SANTOS"/>
    <x v="6"/>
    <x v="1"/>
    <s v="SP"/>
    <s v="RUA MANOEL COELHO, 325, LOJA 20"/>
    <s v="CENTRO"/>
    <s v="SAO CAETANO DO SUL"/>
    <s v="09510-110"/>
    <d v="2022-04-26T00:00:00"/>
    <d v="2022-04-26T00:00:00"/>
    <n v="4"/>
    <s v="NÃO"/>
    <s v="SONAVOIP"/>
    <s v="SONAVOIP"/>
    <n v="467"/>
    <s v="LOJA SAO CAETANO - SP"/>
    <x v="0"/>
    <m/>
  </r>
  <r>
    <n v="50400"/>
    <x v="56"/>
    <s v="DARLANE MACEDO FRAGA"/>
    <x v="5"/>
    <x v="1"/>
    <s v="SP"/>
    <s v="RUA JACOB EMERICK, 393 LOJA 2"/>
    <s v="CENTRO"/>
    <s v="SAO VICENTE"/>
    <s v="11310-010"/>
    <m/>
    <n v="0"/>
    <n v="7"/>
    <s v="NÃO"/>
    <s v="VERSÁTIL"/>
    <s v="BASE ÚNICA"/>
    <n v="275"/>
    <s v="LOJA SAO VICENTE/SP"/>
    <x v="0"/>
    <m/>
  </r>
  <r>
    <n v="600064"/>
    <x v="57"/>
    <s v="Sem supervisor"/>
    <x v="7"/>
    <x v="1"/>
    <s v="SP"/>
    <s v="RUA GERERAL FRANCISCO GLICERIO 950"/>
    <s v="CENTRO"/>
    <s v="SUZANO"/>
    <s v="08674-002"/>
    <d v="2021-12-14T00:00:00"/>
    <d v="2021-12-14T00:00:00"/>
    <n v="5"/>
    <s v="NÃO"/>
    <s v="VERSÁTIL"/>
    <s v="BASE ÚNICA"/>
    <n v="889"/>
    <s v="LOJA SUZANO"/>
    <x v="0"/>
    <m/>
  </r>
  <r>
    <n v="50809"/>
    <x v="58"/>
    <s v="KAREN GOMES DE OLIVEIRA"/>
    <x v="8"/>
    <x v="1"/>
    <s v="SP"/>
    <s v="AV.FEIJO Nº 336 "/>
    <s v="CENTRO"/>
    <s v="ARARAQUARA"/>
    <s v="14801-140"/>
    <m/>
    <n v="0"/>
    <n v="5"/>
    <s v="SIM"/>
    <s v="VERSÁTIL"/>
    <s v="BASE ÚNICA"/>
    <n v="308"/>
    <s v="LOJA ARARAQUARA - SP"/>
    <x v="0"/>
    <m/>
  </r>
  <r>
    <n v="54469"/>
    <x v="59"/>
    <s v="HEVELINS CARVALHO DA SILVA"/>
    <x v="9"/>
    <x v="1"/>
    <s v="SP"/>
    <s v="Rua Horácio Leonardi 92"/>
    <s v="BARÃO GERALDO"/>
    <s v="CAMPINAS"/>
    <s v="13084-105"/>
    <d v="2022-04-04T00:00:00"/>
    <d v="2022-04-04T00:00:00"/>
    <n v="4"/>
    <s v="NÃO"/>
    <s v="SONAVOIP"/>
    <s v="SONAVOIP"/>
    <n v="483"/>
    <s v="LOJA CAMPINAS - BARAO GERALDO - SP"/>
    <x v="0"/>
    <m/>
  </r>
  <r>
    <n v="53556"/>
    <x v="60"/>
    <s v="NATALIA NOVELLI"/>
    <x v="8"/>
    <x v="1"/>
    <s v="SP"/>
    <s v="RUA TREZE DE MAIO, N 3-20 "/>
    <s v="CENTRO"/>
    <s v="BAURU"/>
    <s v="17010-230"/>
    <m/>
    <n v="0"/>
    <n v="6"/>
    <s v="NÃO"/>
    <s v="VERSÁTIL"/>
    <s v="BASE ÚNICA"/>
    <n v="197"/>
    <s v="LOJA BAURU - SP"/>
    <x v="0"/>
    <m/>
  </r>
  <r>
    <n v="5502"/>
    <x v="61"/>
    <s v="Sem supervisor"/>
    <x v="9"/>
    <x v="1"/>
    <s v="SP"/>
    <s v="RUA JOSÉ PAULINO Nº 753"/>
    <s v="CENTRO"/>
    <s v="CAMPINAS"/>
    <s v="13013-001"/>
    <m/>
    <n v="0"/>
    <n v="5"/>
    <s v="SIM"/>
    <s v="VERSÁTIL"/>
    <s v="BASE ÚNICA"/>
    <n v="45"/>
    <s v="LOJA CAMPINAS/SP"/>
    <x v="0"/>
    <m/>
  </r>
  <r>
    <n v="54464"/>
    <x v="62"/>
    <s v="LIDIA BRUNA AMADEU XAVIER"/>
    <x v="8"/>
    <x v="1"/>
    <s v="SP"/>
    <s v="LOURENÇO PRADO, Nº 236 "/>
    <s v="CENTRO"/>
    <s v="JAU"/>
    <s v="17201-000"/>
    <d v="2021-01-25T00:00:00"/>
    <d v="2021-01-25T00:00:00"/>
    <n v="4"/>
    <s v="NÃO"/>
    <s v="VERSÁTIL"/>
    <s v="BASE ÚNICA"/>
    <n v="829"/>
    <s v="LOJA JAU - SP"/>
    <x v="0"/>
    <m/>
  </r>
  <r>
    <n v="54465"/>
    <x v="63"/>
    <s v="EVA MONICA RAFAELA ALVES"/>
    <x v="9"/>
    <x v="1"/>
    <s v="SP"/>
    <s v="PRAÇA TOLEDO BARROS, Nº 296"/>
    <s v="CENTRO"/>
    <s v="LIMEIRA"/>
    <s v="13480-008"/>
    <d v="2021-01-18T00:00:00"/>
    <d v="2021-01-18T00:00:00"/>
    <n v="4"/>
    <s v="SIM"/>
    <s v="VERSÁTIL"/>
    <s v="BASE ÚNICA"/>
    <n v="830"/>
    <s v="LOJA LIMEIRA - SP"/>
    <x v="0"/>
    <m/>
  </r>
  <r>
    <n v="54466"/>
    <x v="64"/>
    <s v="Sem supervisor"/>
    <x v="8"/>
    <x v="1"/>
    <s v="SP"/>
    <s v="AV SAMPAIO VIDAL, Nº 851"/>
    <s v="CENTRO"/>
    <s v="MARILIA"/>
    <s v="17525-040"/>
    <d v="2021-01-18T00:00:00"/>
    <d v="2021-01-18T00:00:00"/>
    <n v="5"/>
    <s v="NÃO"/>
    <s v="VERSÁTIL"/>
    <s v="BASE ÚNICA"/>
    <n v="831"/>
    <s v="LOJA MARILIA - SP"/>
    <x v="0"/>
    <m/>
  </r>
  <r>
    <n v="54471"/>
    <x v="65"/>
    <s v="Sem supervisor"/>
    <x v="8"/>
    <x v="1"/>
    <s v="SP"/>
    <s v="AV. DOUTOR ALTINO ARANTES, 180"/>
    <s v="CENTRO"/>
    <s v="OURINHOS"/>
    <s v="19900-041"/>
    <d v="2021-02-15T00:00:00"/>
    <d v="2021-02-15T00:00:00"/>
    <n v="4"/>
    <s v="NÃO"/>
    <s v="VERSÁTIL"/>
    <s v="BASE ÚNICA"/>
    <n v="832"/>
    <s v="LOJA OURINHOS - SP"/>
    <x v="0"/>
    <m/>
  </r>
  <r>
    <n v="54444"/>
    <x v="66"/>
    <s v="ROSEMEIRE GUERRERO NEVES"/>
    <x v="9"/>
    <x v="1"/>
    <s v="SP"/>
    <s v="PRAÇA JOSÉ BONIFÁCIO, 813"/>
    <s v="CENTRO"/>
    <s v="PIRACICABA"/>
    <s v="13400-340"/>
    <d v="2021-01-18T00:00:00"/>
    <d v="2021-01-18T00:00:00"/>
    <n v="5"/>
    <s v="SIM"/>
    <s v="VERSÁTIL"/>
    <s v="BASE ÚNICA"/>
    <n v="834"/>
    <s v="LOJA PIRACICABA - SP"/>
    <x v="0"/>
    <m/>
  </r>
  <r>
    <n v="50499"/>
    <x v="67"/>
    <s v="JEFERSON CARLOS BOA PIMENTA"/>
    <x v="8"/>
    <x v="1"/>
    <s v="SP"/>
    <s v="RUA AMADOR BUENO Nº 620"/>
    <s v="CENTRO"/>
    <s v="RIBEIRAO PRETO"/>
    <s v="14010-070"/>
    <m/>
    <n v="0"/>
    <n v="5"/>
    <s v="SIM"/>
    <s v="VERSÁTIL"/>
    <s v="BASE ÚNICA"/>
    <n v="289"/>
    <s v="LOJA RIBEIRAO PRETO/SP"/>
    <x v="0"/>
    <m/>
  </r>
  <r>
    <n v="54467"/>
    <x v="68"/>
    <s v="THAINA MARCHI CONEJO"/>
    <x v="9"/>
    <x v="1"/>
    <s v="SP"/>
    <s v="Rua 04, 1143"/>
    <s v="CENTRO"/>
    <s v="RIO CLARO"/>
    <s v="13500-170"/>
    <d v="2021-01-18T00:00:00"/>
    <d v="2021-01-18T00:00:00"/>
    <n v="5"/>
    <s v="SIM"/>
    <s v="VERSÁTIL"/>
    <s v="BASE ÚNICA"/>
    <n v="835"/>
    <s v="LOJA RIO CLARO - SP"/>
    <x v="0"/>
    <s v="S"/>
  </r>
  <r>
    <n v="54468"/>
    <x v="69"/>
    <s v="VITORIA FAION STETER"/>
    <x v="9"/>
    <x v="1"/>
    <s v="SP"/>
    <s v="AV SÃO CARLOS, Nº 1175"/>
    <s v="CENTRO"/>
    <s v="SAO CARLOS"/>
    <s v="13560-010"/>
    <d v="2021-02-01T00:00:00"/>
    <d v="2021-02-01T00:00:00"/>
    <n v="4"/>
    <s v="SIM"/>
    <s v="VERSÁTIL"/>
    <s v="BASE ÚNICA"/>
    <n v="837"/>
    <s v="LOJA SAO CARLOS - SP"/>
    <x v="0"/>
    <m/>
  </r>
  <r>
    <n v="50590"/>
    <x v="70"/>
    <s v="NORIVAL JUNIOR PIRRI"/>
    <x v="8"/>
    <x v="1"/>
    <s v="SP"/>
    <s v="GENERAL GLICÉRIO Nº 3181 "/>
    <s v="CENTRO"/>
    <s v="SAO JOSE DO RIO PRETO"/>
    <s v="15015-400"/>
    <m/>
    <n v="0"/>
    <n v="4"/>
    <s v="SIM"/>
    <s v="VERSÁTIL"/>
    <s v="BASE ÚNICA"/>
    <n v="290"/>
    <s v="LOJA SAO JOSE DO RIO PRETO/SP"/>
    <x v="0"/>
    <m/>
  </r>
  <r>
    <n v="50850"/>
    <x v="71"/>
    <s v="Sem supervisor"/>
    <x v="9"/>
    <x v="1"/>
    <s v="SP"/>
    <s v="ANTONIO DO VALE MELLO Nº 658"/>
    <s v="CENTRO"/>
    <s v="SUMARE"/>
    <s v="13170-010"/>
    <m/>
    <n v="0"/>
    <n v="5"/>
    <s v="SIM"/>
    <s v="VERSÁTIL"/>
    <s v="BASE ÚNICA"/>
    <n v="445"/>
    <s v="LOJA SUMARE/SP"/>
    <x v="0"/>
    <m/>
  </r>
  <r>
    <n v="6000034"/>
    <x v="72"/>
    <s v="MYLENA CRISTINA PINHEIRO"/>
    <x v="9"/>
    <x v="1"/>
    <s v="SP"/>
    <s v="RUA TREZE DE MAIO, 155, SALA 01 E 03"/>
    <s v="CENTRO"/>
    <s v="VALINHOS"/>
    <s v="13270-020"/>
    <d v="2022-03-28T00:00:00"/>
    <d v="2022-03-28T00:00:00"/>
    <n v="4"/>
    <s v="NÃO"/>
    <s v="SONAVOIP"/>
    <s v="SONAVOIP"/>
    <n v="476"/>
    <s v="LOJA VALINHOS - SP"/>
    <x v="0"/>
    <m/>
  </r>
  <r>
    <n v="6000043"/>
    <x v="73"/>
    <s v="CRISTIANE DE LATORRE JODAS"/>
    <x v="7"/>
    <x v="1"/>
    <s v="SP"/>
    <s v="RUA DOUTOR CAMPOS MOURA , 99 SALA 1"/>
    <s v="ARTHUR ALVIM "/>
    <s v="SAO PAULO"/>
    <s v="03568-010"/>
    <d v="2022-06-01T00:00:00"/>
    <d v="2022-06-01T00:00:00"/>
    <n v="4"/>
    <s v="NÃO"/>
    <s v="SONAVOIP"/>
    <s v="SONAVOIP"/>
    <n v="488"/>
    <s v="LOJA ARTHUR ALVIM - SP"/>
    <x v="0"/>
    <m/>
  </r>
  <r>
    <n v="5504"/>
    <x v="74"/>
    <s v="FABIANA DO NASCIMENTO VIEIRA PRIMO"/>
    <x v="7"/>
    <x v="1"/>
    <s v="SP"/>
    <s v="RUA SEBASTIÃO FERREIRA DOS SANTOS Nº 102, SALA 04"/>
    <s v="CENTRO"/>
    <s v="ITAQUAQUECETUBA"/>
    <s v="08570-060"/>
    <m/>
    <n v="0"/>
    <n v="5"/>
    <s v="NÃO"/>
    <s v="VERSÁTIL"/>
    <s v="BASE ÚNICA"/>
    <n v="82"/>
    <s v="LOJA ITAQUAQUECETUBA/SP"/>
    <x v="0"/>
    <m/>
  </r>
  <r>
    <n v="5501"/>
    <x v="75"/>
    <s v="CARLA ALVES ALBUQUERQUE CARNEIRO"/>
    <x v="7"/>
    <x v="1"/>
    <s v="SP"/>
    <s v="RUA GREGORIO RAMALHO, 71"/>
    <s v="ITAQUERA"/>
    <s v="SAO PAULO"/>
    <s v="08210-430"/>
    <m/>
    <n v="0"/>
    <n v="5"/>
    <s v="NÃO"/>
    <s v="VERSÁTIL"/>
    <s v="TRONCO"/>
    <n v="44"/>
    <s v="LOJA ITAQUERA/SP"/>
    <x v="0"/>
    <m/>
  </r>
  <r>
    <n v="6000036"/>
    <x v="76"/>
    <s v="KAMILA TAUBALD"/>
    <x v="7"/>
    <x v="1"/>
    <s v="SP"/>
    <s v="AVENIDA MATEO BEI, 2541"/>
    <s v="SÃO MATEUS"/>
    <s v="SAO PAULO"/>
    <s v="03949-012"/>
    <d v="2022-04-04T00:00:00"/>
    <d v="2022-04-04T00:00:00"/>
    <n v="4"/>
    <s v="NÃO"/>
    <s v="SONAVOIP"/>
    <s v="SONAVOIP"/>
    <n v="479"/>
    <s v="LOJA SAO MATEUS - SP"/>
    <x v="0"/>
    <m/>
  </r>
  <r>
    <n v="6000040"/>
    <x v="77"/>
    <s v="SIDNEY DOS SANTOS ROSA"/>
    <x v="7"/>
    <x v="1"/>
    <s v="SP"/>
    <s v="AV. MARECHAL TITO, 1000"/>
    <s v="SAO MIGUEL PAULISTA"/>
    <s v="SAO PAULO"/>
    <s v="08010-090"/>
    <d v="2022-04-27T00:00:00"/>
    <d v="2022-04-27T00:00:00"/>
    <n v="4"/>
    <s v="NÃO"/>
    <s v="SONAVOIP"/>
    <s v="SONAVOIP"/>
    <n v="478"/>
    <s v="LOJA SAO MIGUEL - SP"/>
    <x v="0"/>
    <m/>
  </r>
  <r>
    <n v="5506"/>
    <x v="78"/>
    <s v="NATALIA DE SOUZA"/>
    <x v="7"/>
    <x v="1"/>
    <s v="SP"/>
    <s v="RUA: PADRE JOÃO,  257"/>
    <s v="PENHA"/>
    <s v="SAO PAULO"/>
    <s v="03637-000"/>
    <m/>
    <n v="0"/>
    <n v="4"/>
    <s v="NÃO"/>
    <s v="VERSÁTIL"/>
    <s v="TRONCO"/>
    <n v="85"/>
    <s v="LOJA PENHA/SP"/>
    <x v="0"/>
    <s v="S"/>
  </r>
  <r>
    <n v="600081"/>
    <x v="79"/>
    <s v="JULIA DE ALMEIDA SILVA"/>
    <x v="7"/>
    <x v="1"/>
    <s v="SP"/>
    <s v="RUA TUIUTI, 2179"/>
    <s v="TATUAPE"/>
    <s v="SAO PAULO"/>
    <s v="03307-005"/>
    <d v="2022-04-04T00:00:00"/>
    <d v="2022-04-04T00:00:00"/>
    <n v="4"/>
    <s v="NÃO"/>
    <s v="SONAVOIP"/>
    <s v="SONAVOIP"/>
    <n v="473"/>
    <s v="LOJA TATUAPE - SP"/>
    <x v="0"/>
    <m/>
  </r>
  <r>
    <n v="31174"/>
    <x v="80"/>
    <s v="ANA CAROLINA RIBEIRO"/>
    <x v="10"/>
    <x v="1"/>
    <s v="PR"/>
    <s v="AV. EMÍLIO JOHSON, Nº 174"/>
    <s v="VILA SANTA TEREZINHA"/>
    <s v="ALMIRANTE TAMANDARE"/>
    <s v="83501-000"/>
    <m/>
    <n v="0"/>
    <n v="4"/>
    <s v="NÃO"/>
    <s v="VERSÁTIL"/>
    <s v="BASE ÚNICA"/>
    <n v="735"/>
    <s v="LOJA ALMIRANTE TAMANDARE- PR"/>
    <x v="0"/>
    <m/>
  </r>
  <r>
    <n v="3802"/>
    <x v="81"/>
    <s v="IZABEL CRISTINA SILVEIRA"/>
    <x v="10"/>
    <x v="1"/>
    <s v="PR"/>
    <s v="RUA ANDRE DE BARROS Nº 205"/>
    <s v="CENTRO"/>
    <s v="CURITIBA"/>
    <s v="80010-080"/>
    <m/>
    <n v="0"/>
    <n v="6"/>
    <s v="NÃO"/>
    <s v="VERSÁTIL"/>
    <s v="BASE ÚNICA"/>
    <n v="133"/>
    <s v="LOJA CURITIBA/PR"/>
    <x v="0"/>
    <s v="S"/>
  </r>
  <r>
    <n v="3801"/>
    <x v="82"/>
    <s v="PEDRO HENRIQUE BATISTA DA COSTA"/>
    <x v="10"/>
    <x v="1"/>
    <s v="PR"/>
    <s v="RUA:CESAR CARELLI  Nº 151 SALA 1 "/>
    <s v="PIONEIROS"/>
    <s v="FAZENDA RIO GRANDE"/>
    <s v="83833-054"/>
    <m/>
    <n v="0"/>
    <n v="4"/>
    <s v="NÃO"/>
    <s v="VERSÁTIL"/>
    <s v="BASE ÚNICA"/>
    <n v="125"/>
    <s v="LOJA FAZENDA RIO GRANDE - PR"/>
    <x v="0"/>
    <m/>
  </r>
  <r>
    <n v="30110"/>
    <x v="83"/>
    <s v="SUZIANNE FERNANDES DE MORAIS"/>
    <x v="10"/>
    <x v="1"/>
    <s v="PR"/>
    <s v="TRAVESSA NOVE DE AGOSTO Nº 13"/>
    <s v="CENTRO HISTORICO"/>
    <s v="PARANAGUA"/>
    <s v="83203-006"/>
    <m/>
    <n v="0"/>
    <n v="6"/>
    <s v="NÃO"/>
    <s v="VERSÁTIL"/>
    <s v="BASE ÚNICA"/>
    <n v="306"/>
    <s v="LOJA PARANAGUA/PR"/>
    <x v="0"/>
    <m/>
  </r>
  <r>
    <n v="31220"/>
    <x v="84"/>
    <s v="CAMILA ANAIR MOREIRA"/>
    <x v="10"/>
    <x v="1"/>
    <s v="PR"/>
    <s v="RUA SANTOS DUMONT Nº 882."/>
    <s v="CENTRO"/>
    <s v="PONTA GROSSA"/>
    <s v="84010-360"/>
    <m/>
    <n v="0"/>
    <n v="5"/>
    <s v="NÃO"/>
    <s v="VERSÁTIL"/>
    <s v="BASE ÚNICA"/>
    <n v="741"/>
    <s v="LOJA PONTA GROSSA - PR"/>
    <x v="0"/>
    <m/>
  </r>
  <r>
    <n v="31175"/>
    <x v="85"/>
    <s v="Sem supervisor"/>
    <x v="10"/>
    <x v="1"/>
    <s v="PR"/>
    <s v="RUA DR. MARCELINO NOGUEIRA 190"/>
    <s v="CENTRO"/>
    <s v="SAO JOSE DOS PINHAIS"/>
    <s v="83005-370"/>
    <m/>
    <n v="0"/>
    <n v="4"/>
    <s v="NÃO"/>
    <s v="VERSÁTIL"/>
    <s v="BASE ÚNICA"/>
    <n v="736"/>
    <s v="LOJA SAO JOSE DOS PINHAIS/PR"/>
    <x v="0"/>
    <m/>
  </r>
  <r>
    <n v="6000038"/>
    <x v="86"/>
    <s v="EVELYN SUZAN CONCEICAO SENA"/>
    <x v="6"/>
    <x v="1"/>
    <s v="SP"/>
    <s v="RUA THOME FRANCO, 258"/>
    <s v="CENTRO"/>
    <s v="ATIBAIA"/>
    <s v="12940-680"/>
    <d v="2022-05-10T00:00:00"/>
    <d v="2022-05-10T00:00:00"/>
    <n v="4"/>
    <s v="SIM"/>
    <s v="SONAVOIP"/>
    <s v="SONAVOIP"/>
    <n v="480"/>
    <s v="LOJA ATIBAIA - SP"/>
    <x v="0"/>
    <m/>
  </r>
  <r>
    <n v="6000045"/>
    <x v="87"/>
    <s v="PATRICIA GOMES JEREMIAS"/>
    <x v="6"/>
    <x v="1"/>
    <s v="SP"/>
    <s v="RUA JOAO MENDES JUNIOR 63 SALA 05"/>
    <s v="CENTRO"/>
    <s v="SAO PAULO"/>
    <s v="07910-210"/>
    <d v="2022-08-16T00:00:00"/>
    <m/>
    <n v="4"/>
    <m/>
    <s v="VERSÁTIL"/>
    <s v="BASE ÚNICA"/>
    <n v="482"/>
    <s v="LOJA FRANCISCO MORATO - SP"/>
    <x v="0"/>
    <m/>
  </r>
  <r>
    <n v="600079"/>
    <x v="88"/>
    <s v="CARLOS ALBERTO PIRANI JUNIOR"/>
    <x v="6"/>
    <x v="1"/>
    <s v="SP"/>
    <s v="RUA AZEVEDO SOARES, 184, SALA 4"/>
    <s v="CENTRO"/>
    <s v="FRANCO DA ROCHA"/>
    <s v="07851-010"/>
    <d v="2022-04-26T00:00:00"/>
    <d v="2022-04-26T00:00:00"/>
    <n v="4"/>
    <s v="NÃO"/>
    <s v="SONAVOIP"/>
    <s v="SONAVOIP"/>
    <n v="471"/>
    <s v="LOJA FRANCO DA ROCHA - SP"/>
    <x v="0"/>
    <m/>
  </r>
  <r>
    <n v="50734"/>
    <x v="89"/>
    <s v="MIRIAM DE SALLES BARBIERI"/>
    <x v="7"/>
    <x v="1"/>
    <s v="SP"/>
    <s v="RUA OSWALDO CRUZ, 36"/>
    <s v="CENTRO"/>
    <s v="GUARULHOS"/>
    <s v="07010-020"/>
    <m/>
    <n v="0"/>
    <n v="5"/>
    <s v="NÃO"/>
    <s v="VERSÁTIL"/>
    <s v="TRONCO"/>
    <n v="681"/>
    <s v="LOJA GUARULHOS/SP"/>
    <x v="0"/>
    <m/>
  </r>
  <r>
    <n v="54512"/>
    <x v="90"/>
    <s v="NICOLE CRISTINA MENDES"/>
    <x v="6"/>
    <x v="1"/>
    <s v="SP"/>
    <s v="RUA VIGARIO JOAO JOSE RODRIGUES 969"/>
    <s v="CENTRO"/>
    <s v="JUNDIAI"/>
    <s v="13201-001"/>
    <d v="2021-04-05T00:00:00"/>
    <d v="2021-04-05T00:00:00"/>
    <n v="5"/>
    <s v="SIM"/>
    <s v="VERSÁTIL"/>
    <s v="BASE ÚNICA"/>
    <n v="850"/>
    <s v="LOJA JUNDIAÍ - SP"/>
    <x v="0"/>
    <m/>
  </r>
  <r>
    <n v="50550"/>
    <x v="91"/>
    <s v="ANDRESSA CRISTINA FERREIRA DA SILVA DE SOUZA"/>
    <x v="6"/>
    <x v="1"/>
    <s v="SP"/>
    <s v="R  PRIMITIVA VIANCO , 657"/>
    <s v="CENTRO"/>
    <s v="OSASCO"/>
    <s v="06016-008"/>
    <m/>
    <n v="0"/>
    <n v="6"/>
    <s v="NÃO"/>
    <s v="VERSÁTIL"/>
    <s v="BASE ÚNICA"/>
    <n v="675"/>
    <s v="LOJA OSASCO/SP"/>
    <x v="0"/>
    <m/>
  </r>
  <r>
    <n v="52012"/>
    <x v="92"/>
    <s v="INDIAMARA CAMARGO DE PAULA"/>
    <x v="6"/>
    <x v="1"/>
    <s v="SP"/>
    <s v="RUA SÃO BENTO 315, LJ 17"/>
    <s v="CENTRO"/>
    <s v="SAO PAULO"/>
    <s v="01010-000"/>
    <m/>
    <n v="0"/>
    <n v="4"/>
    <s v="NÃO"/>
    <s v="VERSÁTIL"/>
    <s v="TRONCO"/>
    <n v="702"/>
    <s v="LOJA SAO BENTO/SP"/>
    <x v="0"/>
    <s v="S"/>
  </r>
  <r>
    <n v="6000033"/>
    <x v="93"/>
    <s v="CLEONICE VIANA DE JESUS"/>
    <x v="6"/>
    <x v="1"/>
    <s v="SP"/>
    <s v="RUA PADRE MARÇAL, 55"/>
    <s v="CENTRO"/>
    <s v="SAO ROQUE"/>
    <s v="18130-100"/>
    <d v="2022-05-10T00:00:00"/>
    <d v="2022-05-10T00:00:00"/>
    <n v="3"/>
    <s v="NÃO"/>
    <s v="SONAVOIP"/>
    <s v="SONAVOIP"/>
    <n v="474"/>
    <s v="LOJA SAO ROQUE - SP"/>
    <x v="0"/>
    <m/>
  </r>
  <r>
    <n v="600055"/>
    <x v="94"/>
    <s v="KAIQUE FERNANDO GRANUCCI"/>
    <x v="7"/>
    <x v="1"/>
    <s v="SP"/>
    <s v="EST. PRESIDENTE JUSCELINO KUBITSCHEK DE OLIVEIRA"/>
    <s v="JARDIM ALBERTINA"/>
    <s v="GUARULHOS"/>
    <s v="07252-000"/>
    <d v="2022-01-18T00:00:00"/>
    <d v="2022-01-18T00:00:00"/>
    <n v="3"/>
    <s v="NÃO"/>
    <s v="VERSÁTIL"/>
    <s v="TRONCO"/>
    <n v="887"/>
    <s v="LOJA GUARULHOS PIMENTAS"/>
    <x v="0"/>
    <m/>
  </r>
  <r>
    <n v="1435"/>
    <x v="95"/>
    <s v="PATRICIA IGNACIO ANTUNES"/>
    <x v="11"/>
    <x v="0"/>
    <s v="RS"/>
    <s v="AV. LEANDRO DE ALMEIDA, 622"/>
    <s v="CENTRO"/>
    <s v="BUTIA"/>
    <s v="96750-000"/>
    <m/>
    <n v="0"/>
    <n v="3"/>
    <s v="NÃO"/>
    <s v="SONAVOIP"/>
    <s v="SONAVOIP"/>
    <n v="110"/>
    <s v="LOJA BUTIA/RS"/>
    <x v="0"/>
    <m/>
  </r>
  <r>
    <n v="1434"/>
    <x v="96"/>
    <s v="PATRICIA SOARES DE OLIVEIRA "/>
    <x v="11"/>
    <x v="0"/>
    <s v="RS"/>
    <s v="R EURIPEDES AURELIO DA SILVA, 12 - LJ 04"/>
    <s v="CENTRO"/>
    <s v="CACHOEIRINHA"/>
    <s v="94920-250"/>
    <m/>
    <n v="0"/>
    <n v="5"/>
    <s v="NÃO"/>
    <s v="VERSÁTIL"/>
    <s v="BASE ÚNICA"/>
    <n v="609"/>
    <s v="LOJA CACHOEIRINHA/RS"/>
    <x v="0"/>
    <m/>
  </r>
  <r>
    <n v="19901"/>
    <x v="97"/>
    <s v="FRANCINE ANSELMO RUDEK"/>
    <x v="11"/>
    <x v="0"/>
    <s v="RS"/>
    <s v="AV. DR JOSE ATHANÁSIO, 129 SALA A"/>
    <s v="CENTRO"/>
    <s v="CHARQUEADAS"/>
    <s v="96745-000"/>
    <m/>
    <n v="0"/>
    <n v="3"/>
    <s v="NÃO"/>
    <s v="SONAVOIP"/>
    <s v="SONAVOIP"/>
    <n v="704"/>
    <s v="LOJA CHARQUEADAS/RS"/>
    <x v="0"/>
    <m/>
  </r>
  <r>
    <n v="1432"/>
    <x v="98"/>
    <s v="KAMILA TARIGA DE MATTOS"/>
    <x v="11"/>
    <x v="0"/>
    <s v="RS"/>
    <s v="RUA CORONEL FONSECA, 772"/>
    <s v="CENTRO"/>
    <s v="GRAVATAI"/>
    <s v="94010-190"/>
    <m/>
    <n v="0"/>
    <n v="5"/>
    <s v="NÃO"/>
    <s v="VERSÁTIL"/>
    <s v="BASE ÚNICA"/>
    <n v="86"/>
    <s v="LOJA GRAVATAI"/>
    <x v="0"/>
    <m/>
  </r>
  <r>
    <n v="1405"/>
    <x v="99"/>
    <s v="ALEXANDRE PRADO BARBOSA"/>
    <x v="3"/>
    <x v="0"/>
    <s v="RS"/>
    <s v="RUA CONEGO SCHERER, 556"/>
    <s v="CENTRO"/>
    <s v="GUAIBA"/>
    <s v="92704-560"/>
    <m/>
    <n v="0"/>
    <n v="4"/>
    <s v="NÃO"/>
    <s v="VERSÁTIL"/>
    <s v="BASE ÚNICA"/>
    <n v="620"/>
    <s v="LOJA GUAIBA/RS"/>
    <x v="0"/>
    <m/>
  </r>
  <r>
    <n v="1409"/>
    <x v="100"/>
    <s v="BRUNA PIRES AZEREDO"/>
    <x v="11"/>
    <x v="0"/>
    <s v="RS"/>
    <s v="AV. AZENHA, 581"/>
    <s v="AZENHA"/>
    <s v="PORTO ALEGRE"/>
    <s v="90160-001"/>
    <m/>
    <n v="0"/>
    <n v="7"/>
    <s v="NÃO"/>
    <s v="VERSÁTIL"/>
    <s v="TRONCO"/>
    <n v="409"/>
    <s v="LOJA AZENHA - RS"/>
    <x v="0"/>
    <m/>
  </r>
  <r>
    <n v="1400"/>
    <x v="101"/>
    <s v="CINTIA POSSAMAI DA SILVA"/>
    <x v="11"/>
    <x v="0"/>
    <s v="RS"/>
    <s v="AV. BORGES DE MEDEIROS, 410 "/>
    <s v="CENTRO"/>
    <s v="PORTO ALEGRE"/>
    <s v="90020-022"/>
    <m/>
    <n v="0"/>
    <n v="9"/>
    <s v="NÃO"/>
    <s v="VERSÁTIL"/>
    <s v="TRONCO"/>
    <n v="400"/>
    <s v="LOJA BORGES - RS"/>
    <x v="0"/>
    <m/>
  </r>
  <r>
    <n v="1401"/>
    <x v="102"/>
    <s v="JESSICA FERREIRA ANTUNES"/>
    <x v="11"/>
    <x v="0"/>
    <s v="RS"/>
    <s v="AV OSVALDO ARANHA, 1394 "/>
    <s v="BOM FIM"/>
    <s v="PORTO ALEGRE"/>
    <s v="90035-191"/>
    <m/>
    <n v="0"/>
    <n v="4"/>
    <s v="NÃO"/>
    <s v="VERSÁTIL"/>
    <s v="TRONCO"/>
    <m/>
    <m/>
    <x v="0"/>
    <m/>
  </r>
  <r>
    <n v="10226"/>
    <x v="103"/>
    <s v="FERNANDA RODRIGUES SOARES"/>
    <x v="11"/>
    <x v="0"/>
    <s v="RS"/>
    <s v="AV. SENADOR SALGADO FILHO 208"/>
    <s v="CENTRO"/>
    <s v="PORTO ALEGRE"/>
    <s v="90010-220"/>
    <m/>
    <n v="0"/>
    <n v="5"/>
    <s v="NÃO"/>
    <s v="VERSÁTIL"/>
    <s v="TRONCO"/>
    <n v="801"/>
    <s v="LOJA SALGADO FILHO/RS"/>
    <x v="0"/>
    <m/>
  </r>
  <r>
    <n v="1444"/>
    <x v="104"/>
    <s v="CAROLINE VENTURINI"/>
    <x v="11"/>
    <x v="0"/>
    <s v="RS"/>
    <s v="RUA OSVALDO ARANHA, 65"/>
    <s v="CENTRO"/>
    <s v="SAO JERONIMO"/>
    <s v="96700-000"/>
    <m/>
    <n v="0"/>
    <n v="4"/>
    <s v="NÃO"/>
    <s v="SONAVOIP"/>
    <s v="SONAVOIP"/>
    <n v="157"/>
    <s v="LOJA SAO JERONIMO/RS"/>
    <x v="0"/>
    <m/>
  </r>
  <r>
    <n v="1453"/>
    <x v="105"/>
    <s v="SARA LETICIA FREITAS RODRIGUES PIEDADE"/>
    <x v="4"/>
    <x v="0"/>
    <s v="RS"/>
    <s v="RUA GENERAL GOMES CARNEIRO, 83 - LOJA 5"/>
    <s v="CENTRO"/>
    <s v="BENTO GONCALVES"/>
    <s v="95700-172"/>
    <m/>
    <n v="0"/>
    <n v="5"/>
    <s v="NÃO"/>
    <s v="VERSÁTIL"/>
    <s v="BASE ÚNICA"/>
    <n v="136"/>
    <s v="LOJA BENTO GONÇALVES - RS"/>
    <x v="0"/>
    <m/>
  </r>
  <r>
    <n v="1443"/>
    <x v="106"/>
    <s v="BRUNA OLIVEIRA FERREIRA"/>
    <x v="4"/>
    <x v="0"/>
    <s v="RS"/>
    <s v="RUA BENTO GONÇALVES, 1967 LJ 5 EDIFÍCIO C. PRESIDE"/>
    <s v="CENTRO"/>
    <s v="CAXIAS DO SUL"/>
    <s v="95020-412"/>
    <m/>
    <n v="0"/>
    <n v="7"/>
    <s v="NÃO"/>
    <s v="VERSÁTIL"/>
    <s v="BASE ÚNICA"/>
    <n v="404"/>
    <s v="LOJA CAXIAS DO SUL/RS"/>
    <x v="0"/>
    <m/>
  </r>
  <r>
    <n v="19701"/>
    <x v="107"/>
    <s v="PEDRO SEVERO DOS SANTOS"/>
    <x v="1"/>
    <x v="0"/>
    <s v="RS"/>
    <s v="RUA FRANCISCO OSCAR KARNAL - Nº 333 LOJA 103"/>
    <s v="CENTRO"/>
    <s v="LAJEADO"/>
    <s v="95900-180"/>
    <m/>
    <n v="0"/>
    <n v="4"/>
    <s v="NÃO"/>
    <s v="VERSÁTIL"/>
    <s v="BASE ÚNICA"/>
    <n v="712"/>
    <s v="LOJA LAJEADO"/>
    <x v="0"/>
    <m/>
  </r>
  <r>
    <n v="1437"/>
    <x v="108"/>
    <s v="BETINA INES SCHAEFER"/>
    <x v="4"/>
    <x v="0"/>
    <s v="RS"/>
    <s v="AV.RAMIRO BARCELOS Nº 1545 - SL 104"/>
    <s v="CENTRO"/>
    <s v="MONTENEGRO"/>
    <s v="95780-000"/>
    <m/>
    <n v="0"/>
    <n v="5"/>
    <s v="NÃO"/>
    <s v="VERSÁTIL"/>
    <s v="BASE ÚNICA"/>
    <n v="115"/>
    <s v="LOJA MONTENEGRO/RS"/>
    <x v="0"/>
    <m/>
  </r>
  <r>
    <n v="1439"/>
    <x v="109"/>
    <s v="PAULO RICARDO PINTO JUNIOR"/>
    <x v="4"/>
    <x v="0"/>
    <s v="RS"/>
    <s v="ROD RS 240 , 3526 - SL 05 (RODOCENTER) "/>
    <s v="CENTRO"/>
    <s v="PORTAO"/>
    <s v="93180-000"/>
    <m/>
    <n v="0"/>
    <n v="3"/>
    <s v="NÃO"/>
    <s v="SONAVOIP"/>
    <s v="SONAVOIP"/>
    <n v="112"/>
    <s v="LOJA PORTAO/RS"/>
    <x v="0"/>
    <m/>
  </r>
  <r>
    <n v="601055"/>
    <x v="110"/>
    <s v="MAIHARA FONTOURA VIEIRA"/>
    <x v="11"/>
    <x v="0"/>
    <s v="RS"/>
    <s v="AV. CRISTÓVÃO COLOMBO, 1320"/>
    <s v="FLORESTA "/>
    <s v="PORTO ALEGRE"/>
    <s v="90560-002"/>
    <d v="2021-11-24T00:00:00"/>
    <d v="2021-11-24T00:00:00"/>
    <n v="5"/>
    <s v="NÃO"/>
    <s v="VERSÁTIL"/>
    <s v="TRONCO"/>
    <n v="462"/>
    <s v="LOJA PORTO ALEGRE - CRISTOVAO COLOMBO"/>
    <x v="0"/>
    <m/>
  </r>
  <r>
    <n v="601050"/>
    <x v="111"/>
    <s v="GRASIELA PEREIRA SANTIAGO DIAS"/>
    <x v="3"/>
    <x v="0"/>
    <s v="RS"/>
    <s v="AV.ASSIS BRASIL, 308"/>
    <s v="SÃO JOAO"/>
    <s v="PORTO ALEGRE"/>
    <s v="91010-000"/>
    <d v="2021-12-01T00:00:00"/>
    <d v="2021-12-01T00:00:00"/>
    <n v="5"/>
    <s v="NÃO"/>
    <s v="VERSÁTIL"/>
    <s v="TRONCO"/>
    <n v="876"/>
    <s v="LOJA ASSIS BRASIL III - RS"/>
    <x v="0"/>
    <m/>
  </r>
  <r>
    <n v="601057"/>
    <x v="112"/>
    <s v="EDUARDA VENTURA BOGADO"/>
    <x v="11"/>
    <x v="0"/>
    <s v="RS"/>
    <s v="AV. PROTASIO ALVES, 2492"/>
    <s v="PETROPOLIS"/>
    <s v="PORTO ALEGRE"/>
    <s v="90410-006"/>
    <d v="2022-02-25T00:00:00"/>
    <d v="2022-02-25T00:00:00"/>
    <n v="7"/>
    <s v="NÃO"/>
    <s v="SONAVOIP"/>
    <s v="SONAVOIP"/>
    <n v="472"/>
    <s v="LOJA PROTASIO ALVES - RS"/>
    <x v="0"/>
    <m/>
  </r>
  <r>
    <n v="19880"/>
    <x v="113"/>
    <s v="ARIADNE DE SENNA POLTOZI"/>
    <x v="1"/>
    <x v="0"/>
    <s v="RS"/>
    <s v="Rua Tenente Coronel Brito,719"/>
    <s v="CENTRO"/>
    <s v="SANTA CRUZ DO SUL"/>
    <s v="96810-114"/>
    <m/>
    <n v="0"/>
    <n v="4"/>
    <s v="NÃO"/>
    <s v="VERSÁTIL"/>
    <s v="BASE ÚNICA"/>
    <n v="710"/>
    <s v="LOJA SANTA CRUZ DO SUL"/>
    <x v="0"/>
    <m/>
  </r>
  <r>
    <n v="19705"/>
    <x v="114"/>
    <s v="DANIELE CRISTINE ROSA"/>
    <x v="1"/>
    <x v="0"/>
    <s v="RS"/>
    <s v="RUA OSVALDO ARANHA, 1268"/>
    <s v="CENTRO"/>
    <s v="VENANCIO AIRES"/>
    <s v="95800-000"/>
    <m/>
    <n v="0"/>
    <n v="3"/>
    <s v="NÃO"/>
    <s v="VERSÁTIL"/>
    <s v="BASE ÚNICA"/>
    <n v="713"/>
    <s v="LOJA VENANCIO AIRES"/>
    <x v="0"/>
    <m/>
  </r>
  <r>
    <n v="1414"/>
    <x v="115"/>
    <s v="VIVIAN AZAMBUJA CARNEIRO"/>
    <x v="11"/>
    <x v="0"/>
    <s v="RS"/>
    <s v="RUA: CORONEL MARCOS DE ANDRADE, 437"/>
    <s v="CENTRO"/>
    <s v="VIAMAO"/>
    <s v="94410-050"/>
    <m/>
    <n v="0"/>
    <n v="5"/>
    <s v="NÃO"/>
    <s v="VERSÁTIL"/>
    <s v="BASE ÚNICA"/>
    <n v="13"/>
    <s v="LOJA VIAMAO - RS"/>
    <x v="0"/>
    <m/>
  </r>
  <r>
    <n v="31373"/>
    <x v="116"/>
    <s v="MARIA LUIZA NUNES TOLOMEOTTI"/>
    <x v="12"/>
    <x v="1"/>
    <s v="PR"/>
    <s v="AV. IRMÃOS PEREIRA Nº 1631 SALA COMERCIAL"/>
    <s v="CENTRO"/>
    <s v="CAMPO MOURAO"/>
    <s v="87301-010"/>
    <d v="2021-03-22T00:00:00"/>
    <d v="2021-03-22T00:00:00"/>
    <n v="3"/>
    <s v="SIM"/>
    <s v="VERSÁTIL"/>
    <s v="BASE ÚNICA"/>
    <n v="838"/>
    <s v="LOJA CAMPO MOURAO - PR"/>
    <x v="0"/>
    <m/>
  </r>
  <r>
    <n v="31276"/>
    <x v="117"/>
    <s v="LUIS ROGERIO DE OLIVEIRA"/>
    <x v="12"/>
    <x v="1"/>
    <s v="PR"/>
    <s v="AVENIDA BRASIL 6282, SL 312"/>
    <s v="CENTRO"/>
    <s v="CASCAVEL"/>
    <s v="85812-002"/>
    <m/>
    <n v="0"/>
    <n v="5"/>
    <s v="SIM"/>
    <s v="VERSÁTIL"/>
    <s v="BASE ÚNICA"/>
    <n v="742"/>
    <s v="LOJA CASCAVEL/PR"/>
    <x v="0"/>
    <m/>
  </r>
  <r>
    <n v="31226"/>
    <x v="118"/>
    <s v="PAULO ROBERTO FLORES DE SOUZA"/>
    <x v="12"/>
    <x v="1"/>
    <s v="PR"/>
    <s v="RUA BARÃO DO RIO BRANCO, 648"/>
    <s v="CENTRO"/>
    <s v="FOZ DO IGUACU"/>
    <s v="85851-310"/>
    <m/>
    <n v="0"/>
    <n v="5"/>
    <s v="SIM"/>
    <s v="VERSÁTIL"/>
    <s v="BASE ÚNICA"/>
    <n v="743"/>
    <s v="LOJA FOZ DO IGUAÇU/PR"/>
    <x v="0"/>
    <m/>
  </r>
  <r>
    <n v="3817"/>
    <x v="119"/>
    <s v="PAMELA DA CONCEICAO DA SILVA"/>
    <x v="12"/>
    <x v="1"/>
    <s v="PR"/>
    <s v="AV PARANÁ 117 A  "/>
    <s v="CENTRO "/>
    <s v="LONDRINA"/>
    <s v="86020-360"/>
    <m/>
    <n v="0"/>
    <n v="5"/>
    <s v="SIM"/>
    <s v="VERSÁTIL"/>
    <s v="BASE ÚNICA"/>
    <n v="208"/>
    <s v="LOJA LONDRINA/PR"/>
    <x v="0"/>
    <m/>
  </r>
  <r>
    <n v="3800"/>
    <x v="120"/>
    <s v="GISLAINE ELIAS DOS SANTOS"/>
    <x v="12"/>
    <x v="1"/>
    <s v="PR"/>
    <s v="RUA SANTOS DUMONT  Nº 2905  LOJA 1 "/>
    <s v="ZONA 1"/>
    <s v="MARINGA"/>
    <s v="87013-050"/>
    <m/>
    <n v="0"/>
    <n v="4"/>
    <s v="SIM"/>
    <s v="VERSÁTIL"/>
    <s v="TRONCO"/>
    <n v="96"/>
    <s v="LOJA MARINGA I/PR"/>
    <x v="0"/>
    <m/>
  </r>
  <r>
    <n v="3827"/>
    <x v="121"/>
    <s v="EDEILSO COSTA MELO"/>
    <x v="12"/>
    <x v="1"/>
    <s v="PR"/>
    <s v="AVENIDA TAMANDARÉ 655 LOJA 58"/>
    <s v="ZONA 1"/>
    <s v="MARINGA"/>
    <s v="87013-210"/>
    <m/>
    <n v="0"/>
    <n v="4"/>
    <s v="SIM"/>
    <s v="VERSÁTIL"/>
    <s v="TRONCO"/>
    <n v="431"/>
    <s v="LOJA MARINGA II/PR"/>
    <x v="0"/>
    <m/>
  </r>
  <r>
    <n v="31353"/>
    <x v="122"/>
    <s v="Sem supervisor"/>
    <x v="12"/>
    <x v="1"/>
    <s v="PR"/>
    <s v="sete de setembro  n 1218"/>
    <s v="CENTRO"/>
    <s v="TOLEDO"/>
    <s v="85900-220"/>
    <d v="2020-09-21T00:00:00"/>
    <d v="2020-09-21T00:00:00"/>
    <n v="5"/>
    <s v="SIM"/>
    <s v="VERSÁTIL"/>
    <s v="BASE ÚNICA"/>
    <n v="752"/>
    <s v="LOJA TOLEDO/PR"/>
    <x v="0"/>
    <m/>
  </r>
  <r>
    <n v="200020"/>
    <x v="123"/>
    <s v="FRANCIELY VANESSA DE SOUZA GARCIA"/>
    <x v="12"/>
    <x v="1"/>
    <s v="PR"/>
    <s v="AVENIDA BRASIL, 4140 SALA 4"/>
    <s v="ZONA I"/>
    <s v="UMUARAMA"/>
    <s v="87501-070"/>
    <d v="2021-11-23T00:00:00"/>
    <d v="2021-11-23T00:00:00"/>
    <n v="4"/>
    <s v="SIM"/>
    <s v="VERSÁTIL"/>
    <s v="BASE ÚNICA"/>
    <n v="870"/>
    <s v="LOJA UMUARAMA"/>
    <x v="0"/>
    <m/>
  </r>
  <r>
    <n v="1436"/>
    <x v="124"/>
    <s v="ANDREY COSTA DA ROCHA"/>
    <x v="13"/>
    <x v="0"/>
    <s v="RS"/>
    <s v="AVENIDA OLAVO MORAES, 798 - LOJA A"/>
    <s v="CENTRO"/>
    <s v="CAMAQUA"/>
    <s v="96780-070"/>
    <m/>
    <n v="0"/>
    <n v="3"/>
    <s v="NÃO"/>
    <s v="VERSÁTIL"/>
    <s v="BASE ÚNICA"/>
    <n v="111"/>
    <s v="LOJA CAMAQUA - RS"/>
    <x v="0"/>
    <m/>
  </r>
  <r>
    <n v="19707"/>
    <x v="125"/>
    <s v="CLAUDIA BEATRIZ LACERDA SCHIAVON"/>
    <x v="13"/>
    <x v="0"/>
    <s v="RS"/>
    <s v="AV. 20 DE SETEMBRO 11C"/>
    <s v="CENTRO (TRIANGULO)"/>
    <s v="CANGUCU"/>
    <s v="96600-000"/>
    <m/>
    <n v="0"/>
    <n v="3"/>
    <s v="NÃO"/>
    <s v="VERSÁTIL"/>
    <s v="BASE ÚNICA"/>
    <n v="714"/>
    <s v="LOJA CANGUÇU"/>
    <x v="0"/>
    <m/>
  </r>
  <r>
    <n v="1478"/>
    <x v="126"/>
    <s v="NAYANE BORGES"/>
    <x v="13"/>
    <x v="0"/>
    <s v="RS"/>
    <s v="RUA SETE DE SETEMBRO, 240 "/>
    <s v="CENTRO"/>
    <s v="PELOTAS"/>
    <s v="96015-300"/>
    <m/>
    <n v="0"/>
    <n v="5"/>
    <s v="NÃO"/>
    <s v="VERSÁTIL"/>
    <s v="BASE ÚNICA"/>
    <n v="39"/>
    <s v="LOJA PELOTAS/RS"/>
    <x v="0"/>
    <m/>
  </r>
  <r>
    <n v="10200"/>
    <x v="127"/>
    <s v="Sem supervisor"/>
    <x v="13"/>
    <x v="0"/>
    <s v="RS"/>
    <s v="MARECHAL FLORIANO 290"/>
    <s v="CENTRO"/>
    <s v="RIO GRANDE"/>
    <s v="96200-380"/>
    <m/>
    <n v="0"/>
    <n v="3"/>
    <s v="NÃO"/>
    <s v="VERSÁTIL"/>
    <s v="BASE ÚNICA"/>
    <n v="419"/>
    <s v="LOJA RIO GRANDE"/>
    <x v="0"/>
    <m/>
  </r>
  <r>
    <n v="1490"/>
    <x v="128"/>
    <s v="Sem supervisor"/>
    <x v="13"/>
    <x v="0"/>
    <s v="RS"/>
    <s v="Rua Pinheiro Machado nº 406"/>
    <s v="MEDIANEIRA"/>
    <s v="SAO LOURENCO DO SUL"/>
    <s v="96170-000"/>
    <m/>
    <n v="0"/>
    <n v="3"/>
    <s v="NÃO"/>
    <s v="VERSÁTIL"/>
    <s v="BASE ÚNICA"/>
    <n v="205"/>
    <s v="LOJA SAO LOURENCO"/>
    <x v="0"/>
    <m/>
  </r>
  <r>
    <n v="1422"/>
    <x v="129"/>
    <s v="FRANCIELI FORTE SUBTIL DA SILVA"/>
    <x v="13"/>
    <x v="0"/>
    <s v="RS"/>
    <s v="AV. ASSIS BRASIL, 371 LOJA 2"/>
    <s v="CENTRO"/>
    <s v="TAPES"/>
    <s v="96760-000"/>
    <m/>
    <n v="0"/>
    <n v="3"/>
    <s v="NÃO"/>
    <s v="SONAVOIP"/>
    <s v="SONAVOIP"/>
    <n v="54"/>
    <s v="LOJA TAPES/RS"/>
    <x v="0"/>
    <m/>
  </r>
  <r>
    <n v="9366"/>
    <x v="130"/>
    <s v="PAULO LINDEMBERG GOMES DO AMARAL"/>
    <x v="14"/>
    <x v="2"/>
    <s v="CE"/>
    <s v="AV. A, Nº 1115, LOJA A"/>
    <s v="CONJUNTO CEARÁ"/>
    <s v="FORTALEZA"/>
    <s v="60533-310"/>
    <d v="2021-01-18T00:00:00"/>
    <d v="2021-01-18T00:00:00"/>
    <n v="3"/>
    <s v="NÃO"/>
    <s v="VERSÁTIL"/>
    <s v="TRONCO"/>
    <n v="827"/>
    <s v="LOJA CONJUNTO CEARA - FORTALEZA - CE"/>
    <x v="0"/>
    <m/>
  </r>
  <r>
    <n v="90900"/>
    <x v="131"/>
    <s v="IRANILDA ARAUJO DE FREITAS"/>
    <x v="14"/>
    <x v="2"/>
    <s v="CE"/>
    <s v="RUA FLORIANO PEIXOTO,797"/>
    <s v="CENTRO"/>
    <s v="FORTALEZA"/>
    <s v="60025-130"/>
    <m/>
    <n v="0"/>
    <n v="6"/>
    <s v="NÃO"/>
    <s v="VERSÁTIL"/>
    <s v="TRONCO"/>
    <n v="186"/>
    <s v="LOJA FORTALEZA/CE"/>
    <x v="0"/>
    <s v="S"/>
  </r>
  <r>
    <n v="9370"/>
    <x v="132"/>
    <s v="RUTH EMANUELA ALVES JORGE"/>
    <x v="14"/>
    <x v="2"/>
    <s v="CE"/>
    <s v="CEL FRANCISCO PEREIRA,400, LOJA G"/>
    <s v="MESSEJANA"/>
    <s v="FORTALEZA"/>
    <s v="60840-290"/>
    <d v="2021-03-15T00:00:00"/>
    <d v="2021-03-15T00:00:00"/>
    <n v="3"/>
    <s v="NÃO"/>
    <s v="VERSÁTIL"/>
    <s v="TRONCO"/>
    <n v="839"/>
    <s v="LOJA MESSEJANA - CE"/>
    <x v="0"/>
    <m/>
  </r>
  <r>
    <n v="9368"/>
    <x v="133"/>
    <s v="Sem supervisor"/>
    <x v="14"/>
    <x v="2"/>
    <s v="CE"/>
    <s v="CAIO PRADO 61, LOJA 6"/>
    <s v="PARANGABA"/>
    <s v="FORTALEZA"/>
    <s v="60720-040"/>
    <d v="2021-02-03T00:00:00"/>
    <d v="2021-02-03T00:00:00"/>
    <n v="4"/>
    <s v="NÃO"/>
    <s v="VERSÁTIL"/>
    <s v="TRONCO"/>
    <n v="833"/>
    <s v="LOJA PARANGABA - FORTALEZA - CE"/>
    <x v="0"/>
    <m/>
  </r>
  <r>
    <n v="7747"/>
    <x v="134"/>
    <s v="RODRIGO GONZAGA CONCEICAO"/>
    <x v="15"/>
    <x v="2"/>
    <s v="BA"/>
    <s v="SÃO GONÇALO, Nº 17 - LOJA 1"/>
    <s v="CABULA"/>
    <s v="SALVADOR"/>
    <s v="41185-055"/>
    <m/>
    <n v="0"/>
    <n v="3"/>
    <s v="NÃO"/>
    <s v="VERSÁTIL"/>
    <s v="TRONCO"/>
    <n v="825"/>
    <s v="LOJA CABULA - SALVADOR - BA"/>
    <x v="0"/>
    <m/>
  </r>
  <r>
    <n v="7800"/>
    <x v="135"/>
    <s v="ROSECLEIDE ALVES BARBOSA"/>
    <x v="15"/>
    <x v="2"/>
    <s v="BA"/>
    <s v="ESTRADA DO COQUEIRO GRANDE, 21A"/>
    <s v="FAZENDA GRANDE II"/>
    <s v="SALVADOR"/>
    <s v="41340-050"/>
    <m/>
    <n v="0"/>
    <n v="4"/>
    <s v="NÃO"/>
    <s v="VERSÁTIL"/>
    <s v="TRONCO"/>
    <n v="722"/>
    <s v="LOJA CAJAZEIRAS - BA"/>
    <x v="0"/>
    <m/>
  </r>
  <r>
    <n v="7748"/>
    <x v="136"/>
    <s v="LIDIANE RUTE VELOSO DOS SANTOS"/>
    <x v="15"/>
    <x v="2"/>
    <s v="BA"/>
    <s v="FERNANDO TORRES, Nº 3 LOJA 3"/>
    <s v="ITAPUÃ"/>
    <s v="SALVADOR"/>
    <s v="41635-470"/>
    <m/>
    <n v="0"/>
    <n v="5"/>
    <s v="NÃO"/>
    <s v="VERSÁTIL"/>
    <s v="TRONCO"/>
    <n v="828"/>
    <s v="LOJA ITAPUA - SALVADOR - BA"/>
    <x v="0"/>
    <m/>
  </r>
  <r>
    <n v="94438"/>
    <x v="137"/>
    <s v="MAINARA ALVES DOS SANTOS"/>
    <x v="15"/>
    <x v="2"/>
    <s v="AM"/>
    <s v="PRAÇA MARTINIANO MAIA 181 A"/>
    <s v="CENTRO"/>
    <s v="LAURO DE FREITAS"/>
    <m/>
    <m/>
    <m/>
    <n v="3"/>
    <m/>
    <s v="VERSÁTIL"/>
    <s v="TRONCO"/>
    <n v="511"/>
    <s v="LOJA LAURO DE FREITAS/BA"/>
    <x v="0"/>
    <m/>
  </r>
  <r>
    <n v="7900"/>
    <x v="138"/>
    <s v="JESSICA ANDRADE DOS SANTOS"/>
    <x v="15"/>
    <x v="2"/>
    <s v="BA"/>
    <s v="RUA DA BÉLGICA, 148 LOJA C "/>
    <s v="COMERCIO"/>
    <s v="SALVADOR"/>
    <s v="40010-030"/>
    <m/>
    <n v="0"/>
    <n v="7"/>
    <s v="NÃO"/>
    <s v="VERSÁTIL"/>
    <s v="TRONCO"/>
    <n v="126"/>
    <s v="LOJA SALVADOR/BA"/>
    <x v="0"/>
    <s v="S"/>
  </r>
  <r>
    <n v="71002"/>
    <x v="139"/>
    <s v="JOSE WELLINGTON DE SOUSA COSTA"/>
    <x v="15"/>
    <x v="2"/>
    <s v="BA"/>
    <s v="RUA DA BÉLGICA, 148 LOJA C "/>
    <s v="COMÉRCIO"/>
    <s v="SALVADOR"/>
    <s v="40010-030"/>
    <m/>
    <n v="0"/>
    <n v="7"/>
    <s v="NÃO"/>
    <s v="VERSÁTIL"/>
    <s v="TRONCO"/>
    <n v="845"/>
    <s v="LOJA SALVADOR/COMERCIO"/>
    <x v="0"/>
    <m/>
  </r>
  <r>
    <n v="7815"/>
    <x v="140"/>
    <s v="ADRIANE SANTOS RIBEIRO"/>
    <x v="15"/>
    <x v="2"/>
    <s v="BA"/>
    <s v="RUA SÃO MARCOS, 56"/>
    <s v="SÃO MARCOS"/>
    <s v="SALVADOR"/>
    <s v="41253-190"/>
    <m/>
    <n v="0"/>
    <n v="4"/>
    <s v="NÃO"/>
    <s v="VERSÁTIL"/>
    <s v="TRONCO"/>
    <n v="770"/>
    <s v="LOJA SAO MARCOS/BA"/>
    <x v="0"/>
    <m/>
  </r>
  <r>
    <n v="93826"/>
    <x v="141"/>
    <s v="VALQUIRIA SANTOS DA CRUZ"/>
    <x v="15"/>
    <x v="2"/>
    <s v="SE"/>
    <s v="RUA SÃO CRISTÓVÃO, 402"/>
    <s v="CENTRO"/>
    <s v="ARACAJU "/>
    <s v="49010-380"/>
    <d v="2022-11-18T00:00:00"/>
    <m/>
    <n v="5"/>
    <m/>
    <s v="VERSÁTIL"/>
    <m/>
    <n v="504"/>
    <s v="LOJA ARACAJU/SE"/>
    <x v="0"/>
    <m/>
  </r>
  <r>
    <n v="23001"/>
    <x v="142"/>
    <s v="THAISA MARY COSTA DE OLIVEIRA"/>
    <x v="15"/>
    <x v="2"/>
    <s v="AL"/>
    <s v="RUA BARÃO DE PENEDO , Nº 197"/>
    <s v="CENTRO"/>
    <s v="MACEIO"/>
    <s v="57020-340"/>
    <m/>
    <n v="0"/>
    <n v="4"/>
    <s v="SIM"/>
    <s v="VERSÁTIL"/>
    <s v="BASE ÚNICA"/>
    <n v="285"/>
    <s v="LOJA MACEIO"/>
    <x v="0"/>
    <m/>
  </r>
  <r>
    <n v="81006"/>
    <x v="143"/>
    <s v="MARILIA TERCIA DA SILVA BRITO"/>
    <x v="16"/>
    <x v="2"/>
    <s v="PE"/>
    <s v="DA PAZ, Nº 194"/>
    <s v="AFOGADOS"/>
    <s v="RECIFE"/>
    <s v="50770-000"/>
    <d v="2021-03-30T00:00:00"/>
    <d v="2021-03-30T00:00:00"/>
    <n v="3"/>
    <s v="SIM"/>
    <s v="VERSÁTIL"/>
    <s v="TRONCO"/>
    <n v="822"/>
    <s v="LOJA AFOGADOS - RECIFE - PE"/>
    <x v="0"/>
    <m/>
  </r>
  <r>
    <n v="18936"/>
    <x v="144"/>
    <s v="HERCULANO ALVES DOS SANTOS"/>
    <x v="16"/>
    <x v="2"/>
    <s v="PB"/>
    <s v="AVENIDA LIBERDADE 3379"/>
    <s v="CENTRO"/>
    <s v="BAYEUX"/>
    <s v="58110-160"/>
    <d v="2021-06-14T00:00:00"/>
    <d v="2021-06-14T00:00:00"/>
    <n v="3"/>
    <s v="SIM"/>
    <s v="VERSÁTIL"/>
    <s v="BASE ÚNICA"/>
    <n v="824"/>
    <s v="LOJA BAYEUX - PB"/>
    <x v="0"/>
    <m/>
  </r>
  <r>
    <n v="18105"/>
    <x v="145"/>
    <s v="DANIELA MEDEIROS MONTEIRO DE OLIVEIRA"/>
    <x v="16"/>
    <x v="2"/>
    <s v="PB"/>
    <s v="RUA EPITACIO PESSOA 166"/>
    <s v="CENTRO"/>
    <s v="CAMPINA GRANDE"/>
    <s v="58400-025"/>
    <m/>
    <n v="0"/>
    <n v="4"/>
    <s v="SIM"/>
    <s v="VERSÁTIL"/>
    <s v="BASE ÚNICA"/>
    <n v="719"/>
    <s v="LOJA CAMPINA GRANDE"/>
    <x v="0"/>
    <m/>
  </r>
  <r>
    <n v="80969"/>
    <x v="146"/>
    <s v="DANILMA MATIAS DA SILVA"/>
    <x v="16"/>
    <x v="2"/>
    <s v="PE"/>
    <s v="RUA CORONEL LIMEIRA, Nº 049-C"/>
    <s v="NOSSA SENHORA DAS DORES"/>
    <s v="CARUARU"/>
    <s v="55002-350"/>
    <m/>
    <n v="0"/>
    <n v="4"/>
    <s v="SIM"/>
    <s v="VERSÁTIL"/>
    <s v="BASE ÚNICA"/>
    <n v="739"/>
    <s v="LOJA CARUARU/PE"/>
    <x v="0"/>
    <m/>
  </r>
  <r>
    <n v="81075"/>
    <x v="147"/>
    <s v="DAYANNE COSTA CHAVES"/>
    <x v="16"/>
    <x v="2"/>
    <s v="PB"/>
    <s v="AV. CRUZ DAS ARMAS, 771, SALA B"/>
    <s v="CRUZ DAS ARMAS"/>
    <s v="JOAO PESSOA"/>
    <s v="58085-000"/>
    <d v="2022-05-23T00:00:00"/>
    <d v="2022-05-23T00:00:00"/>
    <n v="4"/>
    <s v="SIM"/>
    <s v="SONAVOIP"/>
    <s v="SONAVOIP"/>
    <n v="267"/>
    <s v="LOJA JOAO PESSOA/PB"/>
    <x v="0"/>
    <m/>
  </r>
  <r>
    <n v="18900"/>
    <x v="148"/>
    <s v="RUANA VIRGINIA DA SILVA SANTOS"/>
    <x v="16"/>
    <x v="2"/>
    <s v="PB"/>
    <s v="RUA TREZE DE MAIO, 391"/>
    <s v="CENTRO"/>
    <s v="JOAO PESSOA"/>
    <s v="58013-070"/>
    <m/>
    <n v="0"/>
    <n v="6"/>
    <s v="SIM"/>
    <s v="VERSÁTIL"/>
    <s v="TRONCO"/>
    <n v="267"/>
    <s v="LOJA JOAO PESSOA/PB"/>
    <x v="0"/>
    <s v="S"/>
  </r>
  <r>
    <n v="18937"/>
    <x v="149"/>
    <s v="VANDERLANDIA FERREIRA ALVES VENANCIO"/>
    <x v="16"/>
    <x v="2"/>
    <s v="PB"/>
    <s v="RUA JOSEFA TAVEIRA 1547"/>
    <s v="MAGABEIRA"/>
    <s v="JOAO PESSOA"/>
    <s v="58055-000"/>
    <d v="2021-08-11T00:00:00"/>
    <d v="2021-08-11T00:00:00"/>
    <n v="4"/>
    <s v="SIM"/>
    <s v="VERSÁTIL"/>
    <s v="TRONCO"/>
    <n v="864"/>
    <s v="LOJA MANGABEIRA / PB"/>
    <x v="0"/>
    <m/>
  </r>
  <r>
    <n v="14900"/>
    <x v="150"/>
    <s v="THAISE SILVEIRA DOS SANTOS APOLINARIO"/>
    <x v="16"/>
    <x v="2"/>
    <s v="RN"/>
    <s v="AVENIDA DEODORO DA FONSECA 626"/>
    <s v="CENTRO"/>
    <s v="NATAL"/>
    <s v="59025-145"/>
    <m/>
    <n v="0"/>
    <n v="5"/>
    <s v="SIM"/>
    <s v="VERSÁTIL"/>
    <s v="TRONCO"/>
    <n v="281"/>
    <s v="LOJA NATAL I - RN"/>
    <x v="0"/>
    <m/>
  </r>
  <r>
    <n v="14932"/>
    <x v="151"/>
    <s v="WHANDERSON MATHEUS ARAUJO DA COSTA"/>
    <x v="16"/>
    <x v="2"/>
    <s v="RN"/>
    <s v="RUA JOÃO PESSOA, Nº 219"/>
    <s v="CIDADE ALTA"/>
    <s v="NATAL"/>
    <s v="59025-500"/>
    <m/>
    <n v="0"/>
    <n v="4"/>
    <s v="SIM"/>
    <s v="VERSÁTIL"/>
    <s v="TRONCO"/>
    <n v="737"/>
    <s v="LOJA NATAL II - RN"/>
    <x v="0"/>
    <s v="S"/>
  </r>
  <r>
    <n v="8399"/>
    <x v="152"/>
    <s v="MARCELA FERREIRA DOS PASSOS"/>
    <x v="16"/>
    <x v="2"/>
    <s v="PE"/>
    <s v="RUA DUQUE DE CAXIAS 201"/>
    <s v="SANTO ANTONIO"/>
    <s v="RECIFE"/>
    <s v="50010-290"/>
    <m/>
    <n v="0"/>
    <n v="8"/>
    <s v="SIM"/>
    <s v="VERSÁTIL"/>
    <s v="TRONCO"/>
    <n v="75"/>
    <s v="LOJA RECIFE/PE"/>
    <x v="0"/>
    <s v="S"/>
  </r>
  <r>
    <n v="1498"/>
    <x v="153"/>
    <s v="WILLIAM BONIATTI MENEGAT"/>
    <x v="17"/>
    <x v="3"/>
    <s v="RS"/>
    <s v="VIGARIO JOSE INACIO 258/260"/>
    <s v="CENTRO"/>
    <s v="PORTO ALEGRE"/>
    <s v="90020-100"/>
    <m/>
    <s v="-"/>
    <s v="-"/>
    <s v="NÃO"/>
    <s v="VERSÁTIL"/>
    <s v="BASE ÚNICA"/>
    <n v="211"/>
    <s v="CALL CENTER - DEBITO"/>
    <x v="0"/>
    <m/>
  </r>
  <r>
    <n v="1493"/>
    <x v="154"/>
    <s v="FLAVIA GRAZIELA MENDES BORGES"/>
    <x v="17"/>
    <x v="3"/>
    <s v="RS"/>
    <s v="AV. BORGES DE MEDEIROS 410/8 ANDAR"/>
    <s v="CENTRO"/>
    <s v="PORTO ALEGRE"/>
    <s v="90020-022"/>
    <m/>
    <s v="-"/>
    <s v="-"/>
    <s v="NÃO"/>
    <s v="VERSÁTIL"/>
    <s v="BASE ÚNICA"/>
    <n v="866"/>
    <s v="CALL CENTER - FGTS"/>
    <x v="0"/>
    <m/>
  </r>
  <r>
    <n v="1491"/>
    <x v="155"/>
    <s v="TERESINHA DE JESUS FREITAS SOARES"/>
    <x v="17"/>
    <x v="3"/>
    <s v="RS"/>
    <s v="AVENIDA SENADOR SALGADO FILHO 230"/>
    <s v="CENTRO "/>
    <s v="PORTO ALEGRE"/>
    <s v="90010-220"/>
    <m/>
    <s v="-"/>
    <s v="-"/>
    <s v="NÃO"/>
    <s v="VERSÁTIL"/>
    <s v="BASE ÚNICA"/>
    <n v="129"/>
    <s v="CALL CENTER INSS - RS"/>
    <x v="0"/>
    <m/>
  </r>
  <r>
    <n v="1492"/>
    <x v="156"/>
    <s v="TASSIANA GARCIA MOURA"/>
    <x v="17"/>
    <x v="3"/>
    <s v="RS"/>
    <s v="VIGARIO JOSE INACIO 258/260"/>
    <s v="CENTRO"/>
    <s v="PORTO ALEGRE"/>
    <s v="90020-100"/>
    <m/>
    <s v="-"/>
    <s v="-"/>
    <s v="NÃO"/>
    <s v="VERSÁTIL"/>
    <s v="BASE ÚNICA"/>
    <n v="785"/>
    <s v="CALL CENTER PRODUTOS E SERVIÇOS III"/>
    <x v="0"/>
    <m/>
  </r>
  <r>
    <n v="149400"/>
    <x v="157"/>
    <s v="VANESSA DOS SANTOS PINTO"/>
    <x v="17"/>
    <x v="3"/>
    <s v="RS"/>
    <s v="VIGARIO JOSE INACIO 258/260"/>
    <s v="CENTRO "/>
    <s v="PORTO ALEGRE"/>
    <s v="90020-100"/>
    <m/>
    <s v="-"/>
    <s v="-"/>
    <s v="NÃO"/>
    <s v="VERSÁTIL"/>
    <s v="BASE ÚNICA"/>
    <n v="793"/>
    <s v="COORDENADOR CALL CENTER PRODUTOS E SERVIÇOS"/>
    <x v="0"/>
    <m/>
  </r>
  <r>
    <n v="149800"/>
    <x v="158"/>
    <s v="RAPHAEL CASCAES MARTHA"/>
    <x v="17"/>
    <x v="3"/>
    <s v="RS"/>
    <s v="AV. BORGES DE MEDEIROS, 410,"/>
    <s v="CENTRO"/>
    <s v="PORTO ALEGRE"/>
    <s v="90020-022"/>
    <m/>
    <s v="-"/>
    <s v="-"/>
    <s v="NÃO"/>
    <s v="VERSÁTIL"/>
    <s v="BASE ÚNICA"/>
    <n v="874"/>
    <s v="CALL CENTER PRODUTOS E SERVIÇOS IX"/>
    <x v="0"/>
    <m/>
  </r>
  <r>
    <n v="149500"/>
    <x v="159"/>
    <s v="Sem supervisor"/>
    <x v="17"/>
    <x v="3"/>
    <s v="RS"/>
    <s v="RUA VIGARIO JOSE INACIO, 258 / 260"/>
    <s v="CENTRO"/>
    <s v="PORTO ALEGRE"/>
    <m/>
    <m/>
    <s v="-"/>
    <s v="-"/>
    <s v="NÃO"/>
    <s v="VERSÁTIL"/>
    <s v="BASE ÚNICA"/>
    <n v="806"/>
    <s v="CALL CENTER PRODUTOS E SERVIÇOS V"/>
    <x v="0"/>
    <m/>
  </r>
  <r>
    <n v="149700"/>
    <x v="160"/>
    <s v="Sem supervisor"/>
    <x v="17"/>
    <x v="3"/>
    <s v="RS"/>
    <s v="AV. BORGES DE MEDEIROS, 410, 12º ANDAR"/>
    <s v="CENTRO"/>
    <s v="PORTO ALEGRE"/>
    <s v="90020-022"/>
    <m/>
    <s v="-"/>
    <s v="-"/>
    <s v="NÃO"/>
    <s v="VERSÁTIL"/>
    <s v="BASE ÚNICA"/>
    <n v="872"/>
    <s v="CALL CENTER PRODUTOS E SERVIÇOS VI"/>
    <x v="0"/>
    <m/>
  </r>
  <r>
    <n v="1495"/>
    <x v="161"/>
    <s v="Sem supervisor"/>
    <x v="17"/>
    <x v="3"/>
    <s v="RS"/>
    <s v="RUA BORGES DE MEDEIROS 410"/>
    <s v="CENTRO"/>
    <s v="PORTO ALEGRE"/>
    <s v="90020-023"/>
    <m/>
    <s v="-"/>
    <s v="-"/>
    <s v="NÃO"/>
    <s v="VERSÁTIL"/>
    <s v="BASE ÚNICA"/>
    <n v="867"/>
    <s v="CALL CENTER PRODUTOS E SERVIÇOS VII"/>
    <x v="0"/>
    <m/>
  </r>
  <r>
    <n v="149600"/>
    <x v="162"/>
    <s v="Sem supervisor"/>
    <x v="17"/>
    <x v="3"/>
    <s v="RS"/>
    <s v="AV. BORGES DE MEDEIROS, 410, 12º ANDAR"/>
    <s v="CENTRO"/>
    <s v="PORTO ALEGRE"/>
    <s v="90020-022"/>
    <m/>
    <s v="-"/>
    <s v="-"/>
    <s v="NÃO"/>
    <s v="VERSÁTIL"/>
    <s v="BASE ÚNICA"/>
    <n v="873"/>
    <s v="CALL CENTER PRODUTOS E SERVIÇOS VIII"/>
    <x v="0"/>
    <m/>
  </r>
  <r>
    <n v="1499"/>
    <x v="163"/>
    <s v="ALISSON MONEGO PEREIRA"/>
    <x v="17"/>
    <x v="3"/>
    <s v="RS"/>
    <s v="AV. BORGES DE MEDEIROS 410/8 ANDAR"/>
    <s v="CENTRO"/>
    <s v="PORTO ALEGRE"/>
    <s v="90020-022"/>
    <m/>
    <s v="-"/>
    <s v="-"/>
    <s v="NÃO"/>
    <s v="VERSÁTIL"/>
    <s v="BASE ÚNICA"/>
    <n v="282"/>
    <s v="CALL CENTER SIAPE - RS"/>
    <x v="0"/>
    <m/>
  </r>
  <r>
    <n v="15002"/>
    <x v="164"/>
    <s v="ADRIELE FERNANDA VIEIRA DA SILVA"/>
    <x v="18"/>
    <x v="4"/>
    <s v="GO"/>
    <s v="RUA 02, 230 LJ 2 - EDIF CARLOS CHAGAS LOJA 2"/>
    <s v="SETOR CENTRAL"/>
    <s v="GOIANIA"/>
    <s v="74013-020"/>
    <m/>
    <n v="0"/>
    <n v="8"/>
    <s v="NÃO"/>
    <s v="VERSÁTIL"/>
    <s v="TRONCO"/>
    <n v="274"/>
    <s v="LOJA GOIANIA/GO"/>
    <x v="0"/>
    <m/>
  </r>
  <r>
    <n v="17207"/>
    <x v="165"/>
    <s v="GEOVANNA ALVES DE PAULA VAZ"/>
    <x v="18"/>
    <x v="4"/>
    <s v="GO"/>
    <s v="AV. 24 DE OUTUBRO, N.779 QD.43 LT.04 SL.01"/>
    <s v="SETOR CAMPINAS "/>
    <s v="GOIANIA"/>
    <s v="74505-011"/>
    <m/>
    <n v="0"/>
    <n v="4"/>
    <s v="NÃO"/>
    <s v="VERSÁTIL"/>
    <s v="TRONCO"/>
    <n v="740"/>
    <s v="LOJA SETOR CAMPINAS/GO"/>
    <x v="0"/>
    <m/>
  </r>
  <r>
    <n v="15361"/>
    <x v="166"/>
    <s v="POLIANA MORAIS SILVA"/>
    <x v="18"/>
    <x v="4"/>
    <s v="GO"/>
    <s v="AVENIDA DA IGUALDADE QD 095, LT 03"/>
    <s v="SETOR GARAVELO"/>
    <s v="APARECIDA DE GOIANIA"/>
    <s v="74930-530"/>
    <m/>
    <n v="0"/>
    <n v="4"/>
    <s v="NÃO"/>
    <s v="VERSÁTIL"/>
    <s v="TRONCO"/>
    <n v="749"/>
    <s v="LOJA SETOR GARAVELO - GO"/>
    <x v="0"/>
    <m/>
  </r>
  <r>
    <n v="13976"/>
    <x v="167"/>
    <s v="MEYRILANE SOUSA BARROS"/>
    <x v="19"/>
    <x v="4"/>
    <s v="MA"/>
    <s v="AVENIDA MOÇAMBIQUE, 05"/>
    <s v="ANJO DA GUARDA"/>
    <s v="SÃO LUIS"/>
    <m/>
    <m/>
    <m/>
    <n v="3"/>
    <m/>
    <s v="VERSÁTIL"/>
    <s v="TRONCO"/>
    <n v="505"/>
    <s v="LOJA ANJO DA GUARDA/MA"/>
    <x v="0"/>
    <m/>
  </r>
  <r>
    <n v="12257"/>
    <x v="168"/>
    <s v="LAYANE JAYRA DA SILVA CARVALHO"/>
    <x v="19"/>
    <x v="4"/>
    <s v="MA"/>
    <s v="AV. JOAO PESSOA 182"/>
    <s v="JOAO PAULO"/>
    <s v="SAO LUIS"/>
    <s v="64040-000"/>
    <d v="2021-10-18T00:00:00"/>
    <d v="2021-10-18T00:00:00"/>
    <n v="3"/>
    <s v="NÃO"/>
    <s v="VERSÁTIL"/>
    <s v="TRONCO"/>
    <n v="865"/>
    <s v="LOJA JOAO PAULO - MA"/>
    <x v="0"/>
    <m/>
  </r>
  <r>
    <n v="31381"/>
    <x v="169"/>
    <s v="BIANCA NIUANE DIAS MESQUITA"/>
    <x v="19"/>
    <x v="4"/>
    <s v="MA"/>
    <s v="RODOVIA MA-201 (ESTRADA DE RIBAMAR) KM 7, Nº 7114"/>
    <s v="BAIRRO TIJUPÁ QUEIMADO"/>
    <s v="PAÇO DO LUMIAR"/>
    <n v="0"/>
    <d v="2021-04-12T00:00:00"/>
    <d v="2021-04-12T00:00:00"/>
    <n v="3"/>
    <s v="NÃO"/>
    <s v="VERSÁTIL"/>
    <s v="BASE ÚNICA"/>
    <n v="844"/>
    <s v="LOJA PAÇO DO LUMIAR - MA"/>
    <x v="0"/>
    <m/>
  </r>
  <r>
    <n v="31388"/>
    <x v="170"/>
    <s v="STEPHANIE FURTADO DE CARVALHO"/>
    <x v="19"/>
    <x v="4"/>
    <s v="MA"/>
    <s v="AV. GONÇALVES DIAS 711, SALA 02"/>
    <s v="CENTRO"/>
    <s v="SAO JOSE DE RIBAMAR"/>
    <s v="65110-000"/>
    <d v="2021-05-03T00:00:00"/>
    <d v="2021-05-03T00:00:00"/>
    <n v="4"/>
    <s v="NÃO"/>
    <s v="VERSÁTIL"/>
    <s v="BASE ÚNICA"/>
    <n v="852"/>
    <s v="LOJA SÃO JOSE DE RIBAMAR/MA"/>
    <x v="0"/>
    <m/>
  </r>
  <r>
    <n v="13900"/>
    <x v="171"/>
    <s v="DARILENE SILVA BARROSO"/>
    <x v="19"/>
    <x v="4"/>
    <s v="MA"/>
    <s v="RUA DO SOL , 585"/>
    <s v="CENTRO"/>
    <s v="SAO LUIS"/>
    <s v="65020-590"/>
    <m/>
    <n v="0"/>
    <n v="5"/>
    <s v="NÃO"/>
    <s v="VERSÁTIL"/>
    <s v="TRONCO"/>
    <n v="234"/>
    <s v="LOJA SAO LUIS/MA"/>
    <x v="0"/>
    <s v="S"/>
  </r>
  <r>
    <n v="20085"/>
    <x v="172"/>
    <s v="MARCIELE DA SILVA VIEIRA"/>
    <x v="19"/>
    <x v="4"/>
    <s v="PI"/>
    <s v="BARROSO, Nº 151"/>
    <s v="CENTRO"/>
    <s v="TERESINA"/>
    <s v="64000-130"/>
    <d v="2020-11-26T00:00:00"/>
    <d v="2020-11-26T00:00:00"/>
    <n v="7"/>
    <s v="SIM"/>
    <s v="VERSÁTIL"/>
    <s v="TRONCO"/>
    <n v="817"/>
    <s v="LOJA TERESINA II"/>
    <x v="0"/>
    <m/>
  </r>
  <r>
    <n v="31382"/>
    <x v="173"/>
    <s v="NAYRA BASTOS DA SILVA"/>
    <x v="19"/>
    <x v="4"/>
    <s v="MA"/>
    <s v="AV. GUARAJARAS, Nº 30, Shopping Marajo LJ 07"/>
    <s v="TIRIRICAL"/>
    <s v="SAO LUIS"/>
    <s v="65055-285"/>
    <d v="2021-04-05T00:00:00"/>
    <d v="2021-04-05T00:00:00"/>
    <n v="5"/>
    <s v="NÃO"/>
    <s v="VERSÁTIL"/>
    <s v="TRONCO"/>
    <n v="846"/>
    <s v="LOJA TIRIRICAL/MA"/>
    <x v="0"/>
    <m/>
  </r>
  <r>
    <n v="12200"/>
    <x v="174"/>
    <s v="SUELEN TAVARES DE ARAUJO"/>
    <x v="18"/>
    <x v="4"/>
    <s v="MS"/>
    <s v="RUA TREZE DE MAIO, 2892"/>
    <s v="CENTRO"/>
    <s v="CAMPO GRANDE"/>
    <s v="79002-356"/>
    <m/>
    <n v="0"/>
    <n v="6"/>
    <s v="NÃO"/>
    <s v="VERSÁTIL"/>
    <s v="BASE ÚNICA"/>
    <n v="305"/>
    <s v="LOJA CAMPO GRANDE/MS"/>
    <x v="0"/>
    <s v="S"/>
  </r>
  <r>
    <n v="19201"/>
    <x v="175"/>
    <s v="STELLA CORDEIRO ALVES"/>
    <x v="18"/>
    <x v="4"/>
    <s v="MT"/>
    <s v="RUA BARÃO DE MELGAÇO 3525, SL 3"/>
    <s v="CENTRO-NORTE "/>
    <s v="CUIABA"/>
    <s v="78005-300"/>
    <m/>
    <n v="0"/>
    <n v="4"/>
    <s v="SIM"/>
    <s v="VERSÁTIL"/>
    <s v="BASE ÚNICA"/>
    <n v="715"/>
    <s v="LOJA CUIABA"/>
    <x v="0"/>
    <s v="S"/>
  </r>
  <r>
    <n v="24009"/>
    <x v="176"/>
    <s v="MARCELO HENRIQUE SILVA LOPES"/>
    <x v="18"/>
    <x v="4"/>
    <s v="TO"/>
    <s v="QUADRA 104 SUL, RUA SE 01, N° 5, SALA 1,"/>
    <s v="PLANO DIRETOR SUL "/>
    <s v="PALMAS"/>
    <s v="77020-014"/>
    <m/>
    <n v="0"/>
    <n v="3"/>
    <s v="SIM"/>
    <s v="VERSÁTIL"/>
    <s v="BASE ÚNICA"/>
    <n v="775"/>
    <s v="LOJA PALMAS - TO"/>
    <x v="0"/>
    <m/>
  </r>
  <r>
    <n v="40325"/>
    <x v="177"/>
    <s v="BIANCA GOMES MARCIANO SILVA"/>
    <x v="20"/>
    <x v="4"/>
    <s v="MG"/>
    <s v="RUA BARÃO DE SÃO JOÃO NEPOMUCENO, 66"/>
    <s v="CENTRO"/>
    <s v="JUIZ DE FORA"/>
    <s v="36014-008"/>
    <d v="2022-01-17T00:00:00"/>
    <d v="2022-01-17T00:00:00"/>
    <n v="5"/>
    <s v="NÃO"/>
    <s v="SONAVOIP"/>
    <s v="SONAVOIP"/>
    <n v="879"/>
    <s v="LOJA JUIZ DE FORA - MG"/>
    <x v="0"/>
    <m/>
  </r>
  <r>
    <n v="4900"/>
    <x v="178"/>
    <s v="KELLY TATIANY DE MELO"/>
    <x v="20"/>
    <x v="4"/>
    <s v="MG"/>
    <s v="AV. AFONSO PENA 925 "/>
    <s v="CENTRO "/>
    <s v="BELO HORIZONTE"/>
    <s v="30130-002"/>
    <m/>
    <n v="0"/>
    <n v="7"/>
    <s v="NÃO"/>
    <s v="VERSÁTIL"/>
    <s v="TRONCO"/>
    <n v="627"/>
    <s v="LOJA BELO HORIZONTE - MG"/>
    <x v="0"/>
    <m/>
  </r>
  <r>
    <n v="400013"/>
    <x v="179"/>
    <s v="CARLOS VINICIUS TEIXEIRA DE SOUZA"/>
    <x v="20"/>
    <x v="4"/>
    <s v="MG"/>
    <s v="RUA NOGUEIRA NEVES 22"/>
    <s v="CENTRO"/>
    <s v="CATAGUASES"/>
    <s v="36770-070"/>
    <d v="2022-02-01T00:00:00"/>
    <d v="2022-02-01T00:00:00"/>
    <n v="3"/>
    <s v="NÃO"/>
    <s v="SONAVOIP"/>
    <s v="SONAVOIP"/>
    <n v="877"/>
    <s v="LOJA CATAGUASES - MG"/>
    <x v="0"/>
    <m/>
  </r>
  <r>
    <n v="40324"/>
    <x v="180"/>
    <s v="VALDA CONCEICAO DE OLIVEIRA"/>
    <x v="20"/>
    <x v="4"/>
    <s v="MG"/>
    <s v="RUA AFONSO PENA, 86 "/>
    <s v="CONSELHEIRO LAFAIETE"/>
    <s v="BELO HORIZONTE"/>
    <s v="36400-062"/>
    <d v="2022-01-17T00:00:00"/>
    <d v="2022-01-17T00:00:00"/>
    <n v="3"/>
    <s v="NÃO"/>
    <s v="SONAVOIP"/>
    <s v="SONAVOIP"/>
    <n v="878"/>
    <s v="LOJA CONSELHEIRO LAFAIETE- MG"/>
    <x v="0"/>
    <m/>
  </r>
  <r>
    <n v="45034"/>
    <x v="181"/>
    <s v="CARLOS VINICIUS TEIXEIRA FRANCA"/>
    <x v="20"/>
    <x v="4"/>
    <s v="MG"/>
    <s v="AV. LONDRES, 47 LOJA 1"/>
    <s v="ELDORADO"/>
    <s v="CONTAGEM"/>
    <s v="32340-570"/>
    <m/>
    <n v="0"/>
    <n v="4"/>
    <s v="NÃO"/>
    <s v="VERSÁTIL"/>
    <s v="BASE ÚNICA"/>
    <n v="745"/>
    <s v="LOJA CONTAGEM/MG"/>
    <x v="0"/>
    <m/>
  </r>
  <r>
    <n v="400012"/>
    <x v="182"/>
    <s v="SABRINA DA SILVA SOUZA"/>
    <x v="20"/>
    <x v="4"/>
    <s v="MG"/>
    <s v="RUA PASCOAL BERNARDINO, 231, LOJA C "/>
    <s v="CENTRO"/>
    <s v="MURIAE"/>
    <s v="36880-049"/>
    <d v="2022-03-14T00:00:00"/>
    <d v="2022-03-14T00:00:00"/>
    <n v="3"/>
    <s v="NÃO"/>
    <s v="SONAVOIP"/>
    <s v="SONAVOIP"/>
    <n v="882"/>
    <s v="LOJA MURIAE "/>
    <x v="0"/>
    <m/>
  </r>
  <r>
    <n v="45018"/>
    <x v="183"/>
    <s v="JUCILEA LIDIA JANUÁRIO"/>
    <x v="20"/>
    <x v="4"/>
    <s v="MG"/>
    <s v="AV. BRASILIA,  Nº 1838 LOJA 5"/>
    <s v="SÃO BENEDITO"/>
    <s v="SANTA LUZIA"/>
    <s v="33105-516"/>
    <m/>
    <n v="0"/>
    <n v="4"/>
    <s v="NÃO"/>
    <s v="VERSÁTIL"/>
    <s v="BASE ÚNICA"/>
    <n v="769"/>
    <s v="LOJA SANTA LUZIA/MG"/>
    <x v="0"/>
    <m/>
  </r>
  <r>
    <n v="400010"/>
    <x v="184"/>
    <s v="JESSICA FERREIRA FIGUEIREDO"/>
    <x v="20"/>
    <x v="4"/>
    <s v="MG"/>
    <s v="PRAÇA CESARIO ALVIM, 17"/>
    <s v="CENTRO"/>
    <s v="SANTOS DUMONT"/>
    <s v="36240-000"/>
    <d v="2022-01-17T00:00:00"/>
    <d v="2022-01-17T00:00:00"/>
    <n v="3"/>
    <s v="NÃO"/>
    <s v="SONAVOIP"/>
    <s v="SONAVOIP"/>
    <n v="886"/>
    <s v="LOJA MOGI DAS CRUZES"/>
    <x v="0"/>
    <m/>
  </r>
  <r>
    <n v="92760"/>
    <x v="185"/>
    <s v="LUCIANA VIEIRA PERON RODRIGUES"/>
    <x v="20"/>
    <x v="4"/>
    <s v="MG"/>
    <s v="RUA CRISTIANO ROÇAS, 204 , LOJA 01"/>
    <s v="CENTRO"/>
    <s v="UBA"/>
    <s v="36500-000"/>
    <d v="2022-01-17T00:00:00"/>
    <d v="2022-01-17T00:00:00"/>
    <n v="3"/>
    <s v="NÃO"/>
    <s v="SONAVOIP"/>
    <s v="SONAVOIP"/>
    <n v="875"/>
    <s v="LOJA UBA - MG"/>
    <x v="0"/>
    <m/>
  </r>
  <r>
    <n v="400011"/>
    <x v="186"/>
    <s v="JEAN CARLOS PEREIRA ASSIS"/>
    <x v="20"/>
    <x v="4"/>
    <s v="MG"/>
    <s v="RUA DOUTOR MILTON BANDEIRA, 111, LOJA 06"/>
    <s v="CENTRO"/>
    <s v="VICOSA"/>
    <s v="36570-172"/>
    <d v="2022-02-28T00:00:00"/>
    <d v="2022-02-28T00:00:00"/>
    <n v="3"/>
    <s v="NÃO"/>
    <s v="SONAVOIP"/>
    <s v="SONAVOIP"/>
    <n v="883"/>
    <s v="LOJA VICOSA"/>
    <x v="0"/>
    <m/>
  </r>
  <r>
    <n v="96330"/>
    <x v="187"/>
    <s v=""/>
    <x v="21"/>
    <x v="4"/>
    <s v="AM"/>
    <s v="AV. DESEMBARGADOR JOÃO MACHADO. Nº 340, LOJA B"/>
    <s v="ALVORADA"/>
    <s v="MANAUS"/>
    <m/>
    <m/>
    <m/>
    <n v="4"/>
    <m/>
    <s v="VERSÁTIL"/>
    <s v="TRONCO"/>
    <m/>
    <m/>
    <x v="0"/>
    <m/>
  </r>
  <r>
    <n v="96329"/>
    <x v="188"/>
    <s v=""/>
    <x v="21"/>
    <x v="4"/>
    <s v="AM"/>
    <s v="AV. DJALMA BATISTA, Nº 327"/>
    <s v="CHAPADA"/>
    <s v="MANAUS"/>
    <m/>
    <m/>
    <m/>
    <n v="4"/>
    <m/>
    <s v="VERSÁTIL"/>
    <s v="TRONCO"/>
    <m/>
    <m/>
    <x v="0"/>
    <m/>
  </r>
  <r>
    <n v="96331"/>
    <x v="189"/>
    <s v=""/>
    <x v="21"/>
    <x v="4"/>
    <s v="AM"/>
    <s v="RUA PROFESSOR FELIX VALOIS 63"/>
    <s v="CIDADE NOVA"/>
    <s v="MANAUS"/>
    <m/>
    <m/>
    <m/>
    <n v="4"/>
    <m/>
    <s v="VERSÁTIL"/>
    <s v="TRONCO"/>
    <m/>
    <m/>
    <x v="0"/>
    <m/>
  </r>
  <r>
    <n v="96714"/>
    <x v="190"/>
    <s v=""/>
    <x v="21"/>
    <x v="4"/>
    <s v="AM"/>
    <s v="AV. BRASIL 45, LOJA D"/>
    <s v="COMPENSA"/>
    <s v="MANAUS"/>
    <m/>
    <m/>
    <m/>
    <n v="4"/>
    <m/>
    <s v="VERSÁTIL"/>
    <s v="TRONCO"/>
    <m/>
    <m/>
    <x v="0"/>
    <m/>
  </r>
  <r>
    <n v="96328"/>
    <x v="191"/>
    <s v=""/>
    <x v="21"/>
    <x v="4"/>
    <s v="AM"/>
    <s v="RUA LEOPOLDO PERES, 673"/>
    <s v="EDUCANDOS"/>
    <s v="MANAUS"/>
    <m/>
    <m/>
    <m/>
    <n v="4"/>
    <m/>
    <s v="VERSÁTIL"/>
    <s v="TRONCO"/>
    <m/>
    <m/>
    <x v="0"/>
    <m/>
  </r>
  <r>
    <n v="96713"/>
    <x v="192"/>
    <s v=""/>
    <x v="21"/>
    <x v="4"/>
    <s v="AM"/>
    <s v="AV. AUTAZ MIRIM, 5679"/>
    <s v="SÃO JOSÉ"/>
    <s v="MANAUS"/>
    <m/>
    <m/>
    <m/>
    <n v="5"/>
    <m/>
    <s v="VERSÁTIL"/>
    <s v="TRONCO"/>
    <m/>
    <m/>
    <x v="0"/>
    <m/>
  </r>
  <r>
    <n v="180007"/>
    <x v="193"/>
    <s v="ANTONIO STELYO DE ARAUJO BARBOSA"/>
    <x v="22"/>
    <x v="4"/>
    <s v="PA"/>
    <s v="CONJUNTO CIDADE NOVA VII WE-64, 712, A"/>
    <s v="COQUEIRO"/>
    <s v="ANANINDEUA"/>
    <s v="67140-652"/>
    <d v="2022-04-27T00:00:00"/>
    <d v="2022-04-27T00:00:00"/>
    <n v="5"/>
    <s v="NÃO"/>
    <s v="SONAVOIP"/>
    <s v="SONAVOIP"/>
    <n v="481"/>
    <s v="LOJA ANANINDEUA - PA"/>
    <x v="0"/>
    <m/>
  </r>
  <r>
    <n v="17500"/>
    <x v="194"/>
    <s v="SUELLEM DOS SANTOS SANTANA LIMA"/>
    <x v="22"/>
    <x v="4"/>
    <s v="PA"/>
    <s v="AV. PRESIDENTE VARGAS, 351, LOJA 345"/>
    <s v="BAIRRO CAMPINAS"/>
    <s v="BELEM"/>
    <s v="66010-095"/>
    <m/>
    <n v="0"/>
    <n v="7"/>
    <s v="NÃO"/>
    <s v="VERSÁTIL"/>
    <s v="TRONCO"/>
    <n v="226"/>
    <s v="LOJA BELEM/PA"/>
    <x v="0"/>
    <s v="S"/>
  </r>
  <r>
    <n v="600098"/>
    <x v="195"/>
    <s v="JAILTON ALVES DA SILVA"/>
    <x v="22"/>
    <x v="4"/>
    <s v="PA"/>
    <s v="TRAVESSA VIGÁRIO MOTA Nº 10"/>
    <s v="CENTRO"/>
    <s v="BRAGANÇA "/>
    <s v="68600-000"/>
    <d v="2023-04-24T00:00:00"/>
    <d v="2023-04-24T00:00:00"/>
    <n v="4"/>
    <s v="NÃO"/>
    <s v="VERSÁTIL"/>
    <s v="BASE ÚNICA"/>
    <m/>
    <m/>
    <x v="0"/>
    <m/>
  </r>
  <r>
    <n v="17514"/>
    <x v="196"/>
    <s v="ELIZANGELA SORAIA DOS SANTOS SILVA"/>
    <x v="22"/>
    <x v="4"/>
    <s v="PA"/>
    <s v="AV. DR. LOPO DE CASTRO, 293 A"/>
    <s v="ICOARACI"/>
    <s v="BELEM"/>
    <s v="66810-000"/>
    <d v="2021-05-03T00:00:00"/>
    <d v="2021-05-03T00:00:00"/>
    <n v="4"/>
    <s v="NÃO"/>
    <s v="VERSÁTIL"/>
    <s v="TRONCO"/>
    <n v="848"/>
    <s v="LOJA ICOARACI - PA"/>
    <x v="0"/>
    <m/>
  </r>
  <r>
    <n v="22001"/>
    <x v="197"/>
    <s v="ELISANDREA CARVALHO VIDAL"/>
    <x v="22"/>
    <x v="4"/>
    <s v="AP"/>
    <s v="AV. CORIOLANO JUCA, 157 A"/>
    <s v="CENTRAL"/>
    <s v="MACAPA"/>
    <s v="68900-101"/>
    <m/>
    <n v="0"/>
    <n v="4"/>
    <s v="NÃO"/>
    <s v="VERSÁTIL"/>
    <s v="BASE ÚNICA"/>
    <n v="287"/>
    <s v="LOJA MACAPA/AP"/>
    <x v="0"/>
    <m/>
  </r>
  <r>
    <n v="11303"/>
    <x v="198"/>
    <s v="JORDANA DIAS DA SILVA"/>
    <x v="23"/>
    <x v="5"/>
    <s v="ES"/>
    <s v="AV EXPEDITO GARCIA 210/475 COM 02, PAV BL 01"/>
    <s v="CAMPO GRANDE"/>
    <s v="CARIACICA"/>
    <s v="29146-200"/>
    <d v="2020-11-03T00:00:00"/>
    <d v="2020-11-03T00:00:00"/>
    <n v="6"/>
    <s v="SIM"/>
    <s v="VERSÁTIL"/>
    <s v="BASE ÚNICA"/>
    <n v="815"/>
    <s v="LOJA CARIACICA - ES"/>
    <x v="0"/>
    <m/>
  </r>
  <r>
    <n v="11304"/>
    <x v="199"/>
    <s v="DEBORA MARIANO DE ALMEIDA LIRA"/>
    <x v="23"/>
    <x v="5"/>
    <s v="ES"/>
    <s v="RUA CUSTÓDIO GONÇALVES SANTOS 232"/>
    <s v="CENTRO"/>
    <s v="GUARAPARI"/>
    <s v="29200-280"/>
    <d v="2020-11-03T00:00:00"/>
    <d v="2020-11-03T00:00:00"/>
    <n v="4"/>
    <s v="SIM"/>
    <s v="VERSÁTIL"/>
    <s v="BASE ÚNICA"/>
    <n v="816"/>
    <s v="LOJA GUARAPARI - ES"/>
    <x v="0"/>
    <m/>
  </r>
  <r>
    <n v="9362"/>
    <x v="200"/>
    <s v="VANEIVA DE NOVAIS VIEIRA"/>
    <x v="23"/>
    <x v="5"/>
    <s v="ES"/>
    <s v="CAPITÃO JOSÉ MARIA, Nº 1.031, LOJA 02"/>
    <s v="CENTRO"/>
    <s v="LINHARES"/>
    <s v="29900-171"/>
    <d v="2020-11-03T00:00:00"/>
    <d v="2020-11-03T00:00:00"/>
    <n v="5"/>
    <s v="SIM"/>
    <s v="VERSÁTIL"/>
    <s v="BASE ÚNICA"/>
    <n v="812"/>
    <s v="LOJA LINHARES - ES"/>
    <x v="0"/>
    <m/>
  </r>
  <r>
    <n v="9360"/>
    <x v="201"/>
    <s v="Sem supervisor"/>
    <x v="23"/>
    <x v="5"/>
    <s v="ES"/>
    <s v="RÔMULO CASTELO, Nº. 18, LOJA 01 B"/>
    <s v="CENTRO"/>
    <s v="SERRA"/>
    <s v="29176-080"/>
    <d v="2020-11-03T00:00:00"/>
    <d v="2020-11-03T00:00:00"/>
    <n v="6"/>
    <s v="SIM"/>
    <s v="VERSÁTIL"/>
    <s v="BASE ÚNICA"/>
    <n v="813"/>
    <s v="LOJA SERRA - ES"/>
    <x v="0"/>
    <m/>
  </r>
  <r>
    <n v="11950"/>
    <x v="202"/>
    <s v="CAROLINE DOS SANTOS GOES"/>
    <x v="23"/>
    <x v="5"/>
    <s v="ES"/>
    <s v="RODOVIA CARLOS LINDEMBERG 799, LOJA"/>
    <s v="GLORIA"/>
    <s v="VILA VELHA"/>
    <s v="29122-036"/>
    <m/>
    <n v="0"/>
    <n v="4"/>
    <s v="SIM"/>
    <s v="VERSÁTIL"/>
    <s v="BASE ÚNICA"/>
    <n v="725"/>
    <s v="LOJA VILA VELHA - ES"/>
    <x v="0"/>
    <m/>
  </r>
  <r>
    <n v="11900"/>
    <x v="203"/>
    <s v="DALILA LOPES DA SILVA"/>
    <x v="23"/>
    <x v="5"/>
    <s v="ES"/>
    <s v="RUA GONÇALVES DIAS, 20 - LOJA 02"/>
    <s v="CENTRO"/>
    <s v="VITORIA"/>
    <s v="29010-130"/>
    <m/>
    <n v="0"/>
    <n v="8"/>
    <s v="SIM"/>
    <s v="VERSÁTIL"/>
    <s v="BASE ÚNICA"/>
    <n v="215"/>
    <s v="LOJA VITORIA/ES"/>
    <x v="0"/>
    <m/>
  </r>
  <r>
    <n v="6000031"/>
    <x v="204"/>
    <s v="BRUNO EDUARDO LIMA SILVA"/>
    <x v="24"/>
    <x v="5"/>
    <s v="RJ"/>
    <s v="RUA DA CONCEIÇÃO 16"/>
    <s v="CENTRO"/>
    <s v="ANGRA DOS REIS"/>
    <s v="23900-437"/>
    <m/>
    <n v="0"/>
    <n v="4"/>
    <s v="NÃO"/>
    <s v="SONAVOIP"/>
    <s v="SONAVOIP"/>
    <n v="880"/>
    <s v="LOJA ANGRA DOS REIS - RJ"/>
    <x v="0"/>
    <m/>
  </r>
  <r>
    <n v="61019"/>
    <x v="205"/>
    <s v="MARIA FERNANDA DE AVELLAR SPOSITO"/>
    <x v="24"/>
    <x v="5"/>
    <s v="RJ"/>
    <s v="RUA GOVERNADOR PORTELA, Nº 229"/>
    <s v="CENTRO"/>
    <s v="BARRA DO PIRAI"/>
    <s v="27123-000"/>
    <d v="2021-04-12T00:00:00"/>
    <d v="2021-04-12T00:00:00"/>
    <n v="4"/>
    <s v="NÃO"/>
    <s v="VERSÁTIL"/>
    <s v="BASE ÚNICA"/>
    <n v="842"/>
    <s v="LOJA BARRA DO PIRAI - RJ"/>
    <x v="0"/>
    <m/>
  </r>
  <r>
    <n v="60495"/>
    <x v="206"/>
    <s v="YASMIM APARECIDA DOS ANJOS PARANHOS"/>
    <x v="24"/>
    <x v="5"/>
    <s v="RJ"/>
    <s v="AV. JOAQUIM LEITE, Nº 509,EDIF SHOP E HOUSE, LJ 3"/>
    <s v="CENTRO"/>
    <s v="BARRA MANSA"/>
    <n v="0"/>
    <d v="2021-04-09T00:00:00"/>
    <d v="2021-04-09T00:00:00"/>
    <n v="4"/>
    <s v="NÃO"/>
    <s v="VERSÁTIL"/>
    <s v="BASE ÚNICA"/>
    <n v="851"/>
    <s v="LOJA BARRA MANSA - RJ"/>
    <x v="0"/>
    <m/>
  </r>
  <r>
    <n v="600046"/>
    <x v="207"/>
    <s v="DANIELE FERNANDES MARCONDES DE S. RIBEIRO"/>
    <x v="24"/>
    <x v="5"/>
    <s v="SP"/>
    <s v="RUA ENGENHEIRO ANTONIO PENIDO, 699"/>
    <s v="CENTRO"/>
    <s v="CRUZEIRO"/>
    <s v="12701-050"/>
    <d v="2021-11-29T00:00:00"/>
    <d v="2021-11-29T00:00:00"/>
    <n v="5"/>
    <s v="NÃO"/>
    <s v="VERSÁTIL"/>
    <s v="BASE ÚNICA"/>
    <n v="410"/>
    <s v="LOJA CRUZEIRO - SP"/>
    <x v="0"/>
    <m/>
  </r>
  <r>
    <n v="600056"/>
    <x v="208"/>
    <s v="DANIELLE MARIA FERREIRA DINIZ"/>
    <x v="24"/>
    <x v="5"/>
    <s v="SP"/>
    <s v="RUA MONSENHOR FILIPPO, 170 - SALA 5"/>
    <s v="CENTRO"/>
    <s v="GUARATINGUETA"/>
    <s v="12501-410"/>
    <d v="2021-12-19T00:00:00"/>
    <d v="2021-12-19T00:00:00"/>
    <n v="4"/>
    <s v="NÃO"/>
    <s v="VERSÁTIL"/>
    <s v="BASE ÚNICA"/>
    <n v="884"/>
    <s v="LOJA GUARATINGUETA"/>
    <x v="0"/>
    <m/>
  </r>
  <r>
    <n v="600047"/>
    <x v="209"/>
    <s v="WILDSON ALVES FERREIRA"/>
    <x v="24"/>
    <x v="5"/>
    <s v="SP"/>
    <s v="RUA SÃO BENEDITO, 107"/>
    <s v="CENTRO"/>
    <s v="LORENA"/>
    <s v="12600-010"/>
    <d v="2021-11-29T00:00:00"/>
    <d v="2021-11-29T00:00:00"/>
    <n v="4"/>
    <s v="NÃO"/>
    <s v="VERSÁTIL"/>
    <s v="BASE ÚNICA"/>
    <n v="885"/>
    <s v="LOJA LORENA"/>
    <x v="0"/>
    <m/>
  </r>
  <r>
    <n v="60498"/>
    <x v="210"/>
    <s v="SUELEN VIANA DOS SANTOS"/>
    <x v="24"/>
    <x v="5"/>
    <s v="RJ"/>
    <s v="AV. NOVA RESENDE Nº 31, LOJA 01"/>
    <s v="CAMPOS ELISEOS"/>
    <s v="RESENDE"/>
    <s v="27542-130"/>
    <d v="2021-04-12T00:00:00"/>
    <d v="2021-04-12T00:00:00"/>
    <n v="4"/>
    <s v="NÃO"/>
    <s v="VERSÁTIL"/>
    <s v="BASE ÚNICA"/>
    <n v="843"/>
    <s v="LOJA RESENDE - RJ"/>
    <x v="0"/>
    <m/>
  </r>
  <r>
    <n v="50733"/>
    <x v="211"/>
    <s v="CAROLINA APARECIDA DE OLIVEIRA OLIMPIO"/>
    <x v="24"/>
    <x v="5"/>
    <s v="SP"/>
    <s v="RUA SETE DE SETEMBRO N° 290 2°ANDAR SALA 24"/>
    <s v="CENTRO"/>
    <s v="SAO JOSE DOS CAMPOS"/>
    <s v="12210-260"/>
    <m/>
    <n v="0"/>
    <n v="4"/>
    <s v="NÃO"/>
    <s v="VERSÁTIL"/>
    <s v="BASE ÚNICA"/>
    <n v="301"/>
    <s v="LOJA SAO JOSE DOS CAMPOS/SP"/>
    <x v="0"/>
    <m/>
  </r>
  <r>
    <n v="600057"/>
    <x v="212"/>
    <s v="DAIANE MARIANO DANTAS DE ARAUJO ESQUIVEL"/>
    <x v="24"/>
    <x v="5"/>
    <s v="SP"/>
    <s v="RUA SACRAMENTO, 115, LOJA 02"/>
    <s v="CENTRO"/>
    <s v="TAUBATE"/>
    <s v="12010-010"/>
    <m/>
    <n v="0"/>
    <n v="4"/>
    <s v="NÃO"/>
    <s v="VERSÁTIL"/>
    <s v="BASE ÚNICA"/>
    <n v="888"/>
    <s v="LOJA TAUBATE"/>
    <x v="0"/>
    <m/>
  </r>
  <r>
    <n v="60007"/>
    <x v="213"/>
    <s v="HELEN MAXIMIANO SANTOS"/>
    <x v="24"/>
    <x v="5"/>
    <s v="RJ"/>
    <s v="RUA GUSTAVO LIRA 334 , LOJA 02,04,05"/>
    <s v="CENTRO"/>
    <s v="VOLTA REDONDA"/>
    <s v="27253-280"/>
    <m/>
    <n v="0"/>
    <n v="6"/>
    <s v="NÃO"/>
    <s v="VERSÁTIL"/>
    <s v="TRONCO"/>
    <n v="292"/>
    <s v="LOJA VOLTA REDONDA/RJ"/>
    <x v="0"/>
    <m/>
  </r>
  <r>
    <n v="60494"/>
    <x v="214"/>
    <s v="LAURIANA MORAES DA CONCEICAO LEITE"/>
    <x v="24"/>
    <x v="5"/>
    <s v="RJ"/>
    <s v="RUA SAGRES, 27, LOJA 27"/>
    <s v="RETIRO"/>
    <s v="VOLTA REDONDA"/>
    <n v="0"/>
    <d v="2021-04-05T00:00:00"/>
    <d v="2021-04-05T00:00:00"/>
    <n v="4"/>
    <s v="NÃO"/>
    <s v="VERSÁTIL"/>
    <s v="TRONCO"/>
    <n v="853"/>
    <s v="LOJA VOLTA REDONDA II - RJ"/>
    <x v="0"/>
    <m/>
  </r>
  <r>
    <n v="60099"/>
    <x v="215"/>
    <s v="NATANE FELIX DE OLIVEIRA"/>
    <x v="25"/>
    <x v="5"/>
    <s v="RJ"/>
    <s v="RUA SILVA CARDOSO 125, LOJA J"/>
    <s v="BANGU"/>
    <s v="RIO DE JANEIRO"/>
    <s v="21810-031"/>
    <d v="2021-07-12T00:00:00"/>
    <d v="2021-07-12T00:00:00"/>
    <n v="5"/>
    <s v="NÃO"/>
    <s v="VERSÁTIL"/>
    <s v="TRONCO"/>
    <n v="854"/>
    <s v="LOJA BANGU/RJ"/>
    <x v="0"/>
    <m/>
  </r>
  <r>
    <n v="61045"/>
    <x v="216"/>
    <s v="THAIS DE ABREU SANTOS"/>
    <x v="25"/>
    <x v="5"/>
    <s v="RJ"/>
    <s v="AV. CESARIO DE MELO 3006, SALA 105 E 106"/>
    <s v="CAMPO GRANDE"/>
    <s v="RIO DE JANEIRO"/>
    <s v="23050-101"/>
    <d v="2021-05-03T00:00:00"/>
    <d v="2021-05-03T00:00:00"/>
    <n v="6"/>
    <s v="NÃO"/>
    <s v="VERSÁTIL"/>
    <s v="TRONCO"/>
    <n v="857"/>
    <s v="LOJA CAMPO GRANDE/RJ"/>
    <x v="0"/>
    <m/>
  </r>
  <r>
    <n v="60503"/>
    <x v="217"/>
    <s v="MARILIA GABRIELA LOPES FARIA"/>
    <x v="25"/>
    <x v="5"/>
    <s v="RJ"/>
    <s v="AV. BRIGADEIRO LIMA E SILVA 1526, LOJA E E F"/>
    <s v="JARDIM VINTE E CINCO DE AGOSTO"/>
    <s v="DUQUE DE CAXIAS"/>
    <s v="25071-182"/>
    <d v="2021-05-10T00:00:00"/>
    <d v="2021-05-10T00:00:00"/>
    <n v="6"/>
    <s v="NÃO"/>
    <s v="VERSÁTIL"/>
    <s v="BASE ÚNICA"/>
    <n v="861"/>
    <s v="LOJA DUQUE DE CAXIAS/RJ"/>
    <x v="0"/>
    <s v="S"/>
  </r>
  <r>
    <n v="60501"/>
    <x v="218"/>
    <s v="ROSILENE DA GLORIA MARTINS"/>
    <x v="25"/>
    <x v="5"/>
    <s v="RJ"/>
    <s v="TRAVESSA ALMERINDA FREITAS 41, LOJA B"/>
    <s v="MADUREIRA"/>
    <s v="RIO DE JANEIRO"/>
    <s v="21350-280"/>
    <d v="2021-06-14T00:00:00"/>
    <d v="2021-06-14T00:00:00"/>
    <n v="7"/>
    <s v="NÃO"/>
    <s v="VERSÁTIL"/>
    <s v="TRONCO"/>
    <n v="856"/>
    <s v="LOJA MADUREIRA/RJ"/>
    <x v="0"/>
    <m/>
  </r>
  <r>
    <n v="60502"/>
    <x v="219"/>
    <s v="ANDREZA DA SILVA OLIVEIRA"/>
    <x v="25"/>
    <x v="5"/>
    <s v="RJ"/>
    <s v="RUA CONSTANÇA BARBOSA 96, LOJA E"/>
    <s v="MEIER"/>
    <s v="RIO DE JANEIRO"/>
    <s v="20735-090"/>
    <d v="2021-04-26T00:00:00"/>
    <d v="2021-04-26T00:00:00"/>
    <n v="4"/>
    <s v="NÃO"/>
    <s v="VERSÁTIL"/>
    <s v="TRONCO"/>
    <n v="858"/>
    <s v="LOJA MEIER/RJ"/>
    <x v="0"/>
    <m/>
  </r>
  <r>
    <n v="60500"/>
    <x v="220"/>
    <s v="FERNANDA CRISTINA DOS SANTOS PEREIRA"/>
    <x v="25"/>
    <x v="5"/>
    <s v="RJ"/>
    <s v="AVENIDA AMARAL PEIXOTO 36, LOJA 03"/>
    <s v="CENTRO"/>
    <s v="NITEROI"/>
    <s v="24020-074"/>
    <d v="2021-05-24T00:00:00"/>
    <d v="2021-05-24T00:00:00"/>
    <n v="5"/>
    <s v="NÃO"/>
    <s v="VERSÁTIL"/>
    <s v="BASE ÚNICA"/>
    <n v="862"/>
    <s v="LOJA NITEROI/RJ"/>
    <x v="0"/>
    <m/>
  </r>
  <r>
    <n v="60507"/>
    <x v="221"/>
    <s v="Sem supervisor"/>
    <x v="25"/>
    <x v="5"/>
    <s v="RJ"/>
    <s v="RUA DOM WALMOR, 11"/>
    <s v="CENTRO"/>
    <s v="NOVA IGUACU"/>
    <s v="26215-219"/>
    <m/>
    <n v="0"/>
    <n v="5"/>
    <s v="NÃO"/>
    <s v="VERSÁTIL"/>
    <s v="BASE ÚNICA"/>
    <n v="855"/>
    <s v="LOJA NOVA IGUAÇU/RJ"/>
    <x v="0"/>
    <m/>
  </r>
  <r>
    <n v="60900"/>
    <x v="222"/>
    <s v="CAROLINA HERNANDES FLORIDO DE SOUZA"/>
    <x v="25"/>
    <x v="5"/>
    <s v="RJ"/>
    <s v="RUA SETE DE SETEMBRO 98, LOJA H"/>
    <s v="CENTRO"/>
    <s v="RIO DE JANEIRO"/>
    <s v="20050-002"/>
    <m/>
    <n v="0"/>
    <n v="5"/>
    <s v="NÃO"/>
    <s v="VERSÁTIL"/>
    <s v="TRONCO"/>
    <n v="629"/>
    <s v="LOJA RIO DE JANEIRO/RJ"/>
    <x v="0"/>
    <s v="S"/>
  </r>
  <r>
    <n v="96715"/>
    <x v="223"/>
    <s v="Sem supervisor"/>
    <x v="16"/>
    <x v="2"/>
    <s v="PB"/>
    <s v="RUA FRANCISCO GOMES DE AZEVEDO, 11, SALA 11 C"/>
    <s v="CENTRO"/>
    <s v="SANTA RITA"/>
    <s v="58300-390"/>
    <m/>
    <m/>
    <n v="3"/>
    <m/>
    <s v="VERSÁTIL"/>
    <m/>
    <m/>
    <m/>
    <x v="0"/>
    <m/>
  </r>
  <r>
    <n v="49001"/>
    <x v="224"/>
    <s v="Sem supervisor"/>
    <x v="26"/>
    <x v="2"/>
    <s v="MG"/>
    <s v="RUA ALEIXO PARAGUASSU 158, LOJA 2"/>
    <s v="CENTRO"/>
    <s v="ALMENARA"/>
    <s v="39900-000"/>
    <m/>
    <m/>
    <n v="3"/>
    <m/>
    <m/>
    <m/>
    <m/>
    <m/>
    <x v="0"/>
    <m/>
  </r>
  <r>
    <n v="13977"/>
    <x v="225"/>
    <s v="Sem supervisor"/>
    <x v="19"/>
    <x v="4"/>
    <s v="MA"/>
    <s v="RUA CARLOS  SARDINHA 121"/>
    <s v="CENTRO"/>
    <s v="BACABAL"/>
    <s v="65700-000"/>
    <m/>
    <m/>
    <n v="3"/>
    <m/>
    <m/>
    <m/>
    <m/>
    <m/>
    <x v="0"/>
    <m/>
  </r>
  <r>
    <n v="7752"/>
    <x v="226"/>
    <s v="Sem supervisor"/>
    <x v="26"/>
    <x v="2"/>
    <s v="BA"/>
    <s v="AV. DOM PEDRO II 438"/>
    <s v="CENTRO"/>
    <s v="EUNAPOLIS"/>
    <s v="45821-020"/>
    <m/>
    <m/>
    <n v="4"/>
    <m/>
    <m/>
    <m/>
    <m/>
    <m/>
    <x v="0"/>
    <m/>
  </r>
  <r>
    <n v="7751"/>
    <x v="227"/>
    <s v="Sem supervisor"/>
    <x v="26"/>
    <x v="2"/>
    <s v="BA"/>
    <s v="RUA EUSTAQUIO BASTOS 51 TERREO"/>
    <s v="CENTRO"/>
    <s v="ILHEUS"/>
    <s v="45653-020"/>
    <m/>
    <m/>
    <n v="4"/>
    <m/>
    <m/>
    <m/>
    <m/>
    <m/>
    <x v="0"/>
    <m/>
  </r>
  <r>
    <n v="7749"/>
    <x v="228"/>
    <s v="Sem supervisor"/>
    <x v="26"/>
    <x v="2"/>
    <s v="BA"/>
    <s v="RUA PAULINO VIEIRA 197, SALA 07"/>
    <s v="CENTRO"/>
    <s v="ITABUNA"/>
    <s v="45600-170"/>
    <m/>
    <m/>
    <n v="4"/>
    <m/>
    <m/>
    <m/>
    <m/>
    <m/>
    <x v="0"/>
    <m/>
  </r>
  <r>
    <n v="7750"/>
    <x v="229"/>
    <s v="Sem supervisor"/>
    <x v="26"/>
    <x v="2"/>
    <s v="BA"/>
    <s v="RUA PERO VAZ DE CAMINHA 475"/>
    <s v="-"/>
    <s v="PORTO SEGURO"/>
    <s v="45810-000"/>
    <m/>
    <m/>
    <n v="4"/>
    <m/>
    <m/>
    <m/>
    <m/>
    <m/>
    <x v="0"/>
    <m/>
  </r>
  <r>
    <n v="7753"/>
    <x v="230"/>
    <s v="Sem supervisor"/>
    <x v="26"/>
    <x v="2"/>
    <s v="BA"/>
    <s v="RUA FRANCISCO SANTOS 240, LOJA  02"/>
    <s v="CENTRO"/>
    <s v="VITORIA DA CONQUISTA"/>
    <s v="45000-375"/>
    <m/>
    <m/>
    <n v="3"/>
    <m/>
    <m/>
    <m/>
    <m/>
    <m/>
    <x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">
  <r>
    <n v="20990"/>
    <s v="LOJA ARARANGUA -  SC"/>
    <s v="JESSICA DIAS ZUCHINALI SANTANA"/>
    <x v="0"/>
    <s v="ADRIELE DA SILVA SOUZA"/>
    <x v="0"/>
    <s v="RUA DR.VIRGULINO DE QUEIROZ, 215 SALA 2"/>
    <s v="CENTRO"/>
    <s v="ARARANGUA"/>
    <s v="88900-009"/>
    <m/>
    <n v="0"/>
    <n v="4"/>
    <s v="SIM"/>
    <s v="VERSÁTIL"/>
    <s v="BASE ÚNICA"/>
    <n v="726"/>
    <s v="LOJA ARARANGUA - SC"/>
    <x v="0"/>
  </r>
  <r>
    <n v="2222"/>
    <s v="LOJA BALNEARIO CAMBORIU - SC"/>
    <s v="ARISON SAM DE OLIVEIRA NEVES"/>
    <x v="0"/>
    <s v="ADRIELE DA SILVA SOUZA"/>
    <x v="0"/>
    <s v="RUA 900,  13"/>
    <s v="CENTRO"/>
    <s v="BALNEARIO CAMBORIU"/>
    <s v="88300-604"/>
    <m/>
    <n v="0"/>
    <n v="3"/>
    <s v="SIM"/>
    <s v="VERSÁTIL"/>
    <s v="BASE ÚNICA"/>
    <n v="777"/>
    <s v="LOJA BALNEARIO CAMBORIU - SC"/>
    <x v="0"/>
  </r>
  <r>
    <n v="2913"/>
    <s v="LOJA CHAPECO - SC"/>
    <s v="BRUNA KETLYN HELLGREN DE MOURA"/>
    <x v="0"/>
    <s v="ADRIELE DA SILVA SOUZA"/>
    <x v="0"/>
    <s v="AVENIDA FERNANDO MACHADO, 380 D, SALA 01, EDIFÍCIO"/>
    <s v="CENTRO"/>
    <s v="CHAPECO"/>
    <s v="89802-110"/>
    <d v="2020-09-14T00:00:00"/>
    <d v="2020-09-14T00:00:00"/>
    <n v="5"/>
    <s v="SIM"/>
    <s v="VERSÁTIL"/>
    <s v="BASE ÚNICA"/>
    <n v="744"/>
    <s v="LOJA CHAPECÓ - SC"/>
    <x v="0"/>
  </r>
  <r>
    <n v="20987"/>
    <s v="LOJA CRICIUMA - SC"/>
    <s v="JULIANA MARCELLO"/>
    <x v="0"/>
    <s v="ADRIELE DA SILVA SOUZA"/>
    <x v="0"/>
    <s v="SAO JOSE 135/07, B"/>
    <s v="CENTRO"/>
    <s v="CRICIUMA"/>
    <s v="88801-520"/>
    <m/>
    <n v="0"/>
    <n v="6"/>
    <s v="SIM"/>
    <s v="VERSÁTIL"/>
    <s v="BASE ÚNICA"/>
    <n v="727"/>
    <s v="LOJA CRICIUMA - SC"/>
    <x v="0"/>
  </r>
  <r>
    <n v="10331"/>
    <s v="LOJA ERECHIM - RS"/>
    <s v="MAGDA LUISA DA SILVA"/>
    <x v="1"/>
    <s v="ADRIELE DA SILVA SOUZA"/>
    <x v="1"/>
    <s v="AV. SETE DE SETEMBRO, Nº 483"/>
    <s v="CENTRO"/>
    <s v="ERECHIM"/>
    <s v="99700-000"/>
    <d v="2020-09-01T00:00:00"/>
    <d v="2020-09-01T00:00:00"/>
    <n v="4"/>
    <s v="SIM"/>
    <s v="VERSÁTIL"/>
    <s v="BASE ÚNICA"/>
    <n v="755"/>
    <s v="LOJA ERECHIM/RS"/>
    <x v="0"/>
  </r>
  <r>
    <n v="2802"/>
    <s v="LOJA FLORIANOPOLIS - SC"/>
    <s v="DAIANE DA SILVA SOARES"/>
    <x v="0"/>
    <s v="ADRIELE DA SILVA SOUZA"/>
    <x v="0"/>
    <s v="RUA DEODORO, 226 - SALA 101, EDIFÍCIO MARCO POLO"/>
    <s v="CENTRO"/>
    <s v="FLORIANOPOLIS"/>
    <s v="88010-020"/>
    <m/>
    <n v="0"/>
    <n v="5"/>
    <s v="SIM"/>
    <s v="VERSÁTIL"/>
    <s v="BASE ÚNICA"/>
    <n v="751"/>
    <s v="LOJA FLORIANOPOLIS - SC"/>
    <x v="0"/>
  </r>
  <r>
    <n v="200022"/>
    <s v="LOJA ITAJAI - SC"/>
    <s v="Sem supervisor"/>
    <x v="0"/>
    <s v="ADRIELE DA SILVA SOUZA"/>
    <x v="0"/>
    <s v="RUA GIL STEIN FERREIRA, 303, SALA 1"/>
    <s v="CENTRO"/>
    <s v="ITAJAI"/>
    <s v="88301-210"/>
    <d v="2022-02-11T00:00:00"/>
    <d v="2022-02-11T00:00:00"/>
    <n v="4"/>
    <s v="NÃO"/>
    <s v="SONAVOIP"/>
    <s v="SONAVOIP"/>
    <n v="890"/>
    <s v="LOJA ITAJAI"/>
    <x v="0"/>
  </r>
  <r>
    <n v="20959"/>
    <s v="LOJA JOINVILLE - SC"/>
    <s v="SAMARA CAROLINE FERREIRA"/>
    <x v="0"/>
    <s v="ADRIELE DA SILVA SOUZA"/>
    <x v="0"/>
    <s v="dona Francisca 114"/>
    <s v="CENTRO "/>
    <s v="JOINVILLE"/>
    <s v="89201-250"/>
    <m/>
    <n v="0"/>
    <n v="7"/>
    <s v="NÃO"/>
    <s v="VERSÁTIL"/>
    <s v="BASE ÚNICA"/>
    <n v="705"/>
    <s v="LOJA JOINVILLE - SC"/>
    <x v="0"/>
  </r>
  <r>
    <n v="2921"/>
    <s v="LOJA LAGUNA - SC"/>
    <s v="DAYANE MENDES LEONEL MARCELINO"/>
    <x v="0"/>
    <s v="ADRIELE DA SILVA SOUZA"/>
    <x v="0"/>
    <s v="AV ENGENHEIRO COLOMBO MACHADO SALES, N° 108"/>
    <s v="CENTRO"/>
    <s v="LAGUNA"/>
    <s v="88790-000"/>
    <d v="2020-10-05T00:00:00"/>
    <d v="2020-10-05T00:00:00"/>
    <n v="3"/>
    <s v="SIM"/>
    <s v="VERSÁTIL"/>
    <s v="BASE ÚNICA"/>
    <n v="811"/>
    <s v="LOJA LAGUNA - SC"/>
    <x v="0"/>
  </r>
  <r>
    <n v="2918"/>
    <s v="LOJA PALHOÇA - SC"/>
    <s v="LUCIENE DOS SANTOS CARLOS"/>
    <x v="0"/>
    <s v="ADRIELE DA SILVA SOUZA"/>
    <x v="0"/>
    <s v="AVENIDA BARÃO DO RIO BRANCO, Nº 56"/>
    <s v="CENTRO"/>
    <s v="PALHOCA"/>
    <s v="88130-101"/>
    <d v="2020-10-05T00:00:00"/>
    <d v="2020-10-05T00:00:00"/>
    <n v="5"/>
    <s v="SIM"/>
    <s v="VERSÁTIL"/>
    <s v="BASE ÚNICA"/>
    <n v="810"/>
    <s v="LOJA PALHOÇA - SC"/>
    <x v="0"/>
  </r>
  <r>
    <n v="2945"/>
    <s v="LOJA SAO JOSE - SC"/>
    <s v="GEISA PEREIRA DE SOUSA"/>
    <x v="0"/>
    <s v="ADRIELE DA SILVA SOUZA"/>
    <x v="0"/>
    <s v="RUA: DINARTE DOMINGUES,543 LOJA 07"/>
    <s v="CAMPINAS"/>
    <s v="SAO JOSE"/>
    <s v="88101-070"/>
    <m/>
    <n v="0"/>
    <n v="3"/>
    <s v="SIM"/>
    <s v="VERSÁTIL"/>
    <s v="BASE ÚNICA"/>
    <n v="849"/>
    <s v="LOJA SAO JOSE - SC"/>
    <x v="0"/>
  </r>
  <r>
    <n v="20989"/>
    <s v="LOJA TUBARÃO - SC"/>
    <s v="VANESSA ANDRADE LIMA DE SOUZA"/>
    <x v="0"/>
    <s v="ADRIELE DA SILVA SOUZA"/>
    <x v="0"/>
    <s v="AV RODOVALHO, 12 SALA 02"/>
    <s v="CENTRO"/>
    <s v="TUBARAO"/>
    <s v="88701-170"/>
    <m/>
    <n v="0"/>
    <n v="5"/>
    <s v="SIM"/>
    <s v="VERSÁTIL"/>
    <s v="BASE ÚNICA"/>
    <n v="728"/>
    <s v="LOJA TUBARAO - SC"/>
    <x v="0"/>
  </r>
  <r>
    <n v="10332"/>
    <s v="LOJA CARAZINHO - RS"/>
    <s v="ANDERSON SANDERSON TURELA"/>
    <x v="1"/>
    <s v="ADRIELE DA SILVA SOUZA"/>
    <x v="1"/>
    <s v="AV FLORES DA CUNHA, 1184 - SALA 101"/>
    <s v="CENTRO"/>
    <s v="CARAZINHO"/>
    <s v="99500-000"/>
    <d v="2020-09-01T00:00:00"/>
    <d v="2020-09-01T00:00:00"/>
    <n v="3"/>
    <s v="SIM"/>
    <s v="VERSÁTIL"/>
    <s v="BASE ÚNICA"/>
    <n v="756"/>
    <s v="LOJA CARAZINHO - RS"/>
    <x v="0"/>
  </r>
  <r>
    <n v="19715"/>
    <s v="LOJA CRUZ ALTA - RS"/>
    <s v="Sem supervisor"/>
    <x v="1"/>
    <s v="ADRIELE DA SILVA SOUZA"/>
    <x v="1"/>
    <s v="RUA PINHEIRO MACHADO 865, SL 1"/>
    <s v="CENTRO"/>
    <s v="CRUZ ALTA"/>
    <s v="98005-000"/>
    <m/>
    <n v="0"/>
    <n v="4"/>
    <s v="NÃO"/>
    <s v="VERSÁTIL"/>
    <s v="BASE ÚNICA"/>
    <n v="721"/>
    <s v="LOJA CRUZ ALTA"/>
    <x v="0"/>
  </r>
  <r>
    <n v="1423"/>
    <s v="LOJA IJUI 1 - RS"/>
    <s v="ALINE SAULIT DA SILVEIRA"/>
    <x v="2"/>
    <s v="ADRIELE DA SILVA SOUZA"/>
    <x v="1"/>
    <s v="RUA 15 DE NOVEMBRO, 217 - SALA 01"/>
    <s v="CENTRO"/>
    <s v="IJUI"/>
    <s v="98700-000"/>
    <m/>
    <n v="0"/>
    <n v="5"/>
    <s v="NÃO"/>
    <s v="VERSÁTIL"/>
    <s v="TRONCO"/>
    <n v="612"/>
    <s v="LOJA IJUI I/RS"/>
    <x v="0"/>
  </r>
  <r>
    <n v="19777"/>
    <s v="LOJA PASSO FUNDO - RS"/>
    <s v="TIEREN ROQUE IUNG"/>
    <x v="1"/>
    <s v="ADRIELE DA SILVA SOUZA"/>
    <x v="1"/>
    <s v="R. INDEPENDÊNCIA, 684 "/>
    <s v="CENTRO"/>
    <s v="PASSO FUNDO"/>
    <s v="99010-040"/>
    <m/>
    <n v="0"/>
    <n v="3"/>
    <s v="NÃO"/>
    <s v="VERSÁTIL"/>
    <s v="TRONCO"/>
    <n v="297"/>
    <s v="LOJA PASSO FUNDO - RS"/>
    <x v="0"/>
  </r>
  <r>
    <n v="10333"/>
    <s v="LOJA PASSO FUNDO 2 - RS"/>
    <s v="EDSON JOEL CAVALHEIRO"/>
    <x v="1"/>
    <s v="ADRIELE DA SILVA SOUZA"/>
    <x v="1"/>
    <s v="RUA CEL. CHICUTA, Nº 436, LOJA 8"/>
    <s v="CENTRO"/>
    <s v="PASSO FUNDO"/>
    <s v="99010-051"/>
    <d v="2020-09-08T00:00:00"/>
    <d v="2020-09-08T00:00:00"/>
    <n v="5"/>
    <s v="SIM"/>
    <s v="VERSÁTIL"/>
    <s v="TRONCO"/>
    <n v="809"/>
    <s v="LOJA PASSO FUNDO 2 - RS"/>
    <x v="0"/>
  </r>
  <r>
    <n v="10650"/>
    <s v="LOJA SANTA ROSA - RS"/>
    <s v="ANA PAULA BAGETI"/>
    <x v="2"/>
    <s v="ADRIELE DA SILVA SOUZA"/>
    <x v="1"/>
    <s v="RUA CRISTÓVÃO COLOMBO, 325 - LOJA 01"/>
    <s v="CENTRO"/>
    <s v="SANTA ROSA"/>
    <s v="98780-106"/>
    <m/>
    <n v="0"/>
    <n v="5"/>
    <s v="NÃO"/>
    <s v="VERSÁTIL"/>
    <s v="BASE ÚNICA"/>
    <n v="413"/>
    <s v="LOJA SANTA ROSA"/>
    <x v="0"/>
  </r>
  <r>
    <n v="19709"/>
    <s v="LOJA SANTO ÂNGELO - RS"/>
    <s v="LUCIMARA ROSALDA EICH"/>
    <x v="2"/>
    <s v="ADRIELE DA SILVA SOUZA"/>
    <x v="1"/>
    <s v="RUA 25 DE JULHO 584, SL 3"/>
    <s v="CENTRO"/>
    <s v="SANTO ANGELO"/>
    <s v="98801-670"/>
    <m/>
    <n v="0"/>
    <n v="5"/>
    <s v="NÃO"/>
    <s v="VERSÁTIL"/>
    <s v="BASE ÚNICA"/>
    <n v="717"/>
    <s v="LOJA SANTO ANGELO"/>
    <x v="0"/>
  </r>
  <r>
    <n v="19890"/>
    <s v="LOJA SOLEDADE - RS"/>
    <s v="Sem supervisor"/>
    <x v="1"/>
    <s v="ADRIELE DA SILVA SOUZA"/>
    <x v="1"/>
    <s v="AV MAL FLORIANO PEIXOTO, 1063"/>
    <s v="CENTRO"/>
    <s v="SOLEDADE"/>
    <s v="99300-000"/>
    <m/>
    <n v="0"/>
    <n v="4"/>
    <s v="NÃO"/>
    <s v="SONAVOIP"/>
    <s v="SONAVOIP"/>
    <n v="709"/>
    <s v="LOJA SOLEDADE"/>
    <x v="0"/>
  </r>
  <r>
    <n v="10201"/>
    <s v="LOJA ALEGRETE - RS"/>
    <s v="JESSICA RODRIGUES BENCKE GUTERRES"/>
    <x v="2"/>
    <s v="ADRIELE DA SILVA SOUZA"/>
    <x v="1"/>
    <s v="R VASCO ALVES, 184 - SALA 3"/>
    <s v="CENTRO"/>
    <s v="ALEGRETE"/>
    <s v="97542-600"/>
    <m/>
    <n v="0"/>
    <n v="4"/>
    <s v="NÃO"/>
    <s v="VERSÁTIL"/>
    <s v="BASE ÚNICA"/>
    <n v="729"/>
    <s v="LOJA ALEGRETE - RS"/>
    <x v="0"/>
  </r>
  <r>
    <n v="1407"/>
    <s v="LOJA CACHOEIRA DO SUL - RS"/>
    <s v="JESSICA DE ALMEIDA OLIVEIRA"/>
    <x v="1"/>
    <s v="ADRIELE DA SILVA SOUZA"/>
    <x v="1"/>
    <s v="SETE DE SETEMBRO, Nº 1438"/>
    <s v="CENTRO"/>
    <s v="CACHOEIRA DO SUL"/>
    <s v="96508-010"/>
    <m/>
    <n v="0"/>
    <n v="5"/>
    <s v="NÃO"/>
    <s v="VERSÁTIL"/>
    <s v="BASE ÚNICA"/>
    <n v="636"/>
    <s v="LOJA CACHOEIRA DO SUL/RS"/>
    <x v="0"/>
  </r>
  <r>
    <n v="10600"/>
    <s v="LOJA ITAQUI - RS"/>
    <s v="DEBORA MENDES DE FREITAS"/>
    <x v="2"/>
    <s v="ADRIELE DA SILVA SOUZA"/>
    <x v="1"/>
    <s v="RUA BORGES DO CANTO,  Nº 1056"/>
    <s v="CENTRO"/>
    <s v="ITAQUI"/>
    <s v="97650-000"/>
    <m/>
    <n v="0"/>
    <n v="3"/>
    <s v="NÃO"/>
    <s v="SONAVOIP"/>
    <s v="SONAVOIP"/>
    <n v="763"/>
    <s v="LOJA ITAQUI/RS"/>
    <x v="0"/>
  </r>
  <r>
    <n v="19710"/>
    <s v="LOJA ROSARIO DO SUL"/>
    <s v="SARA GRACIELE DE OLIVEIRA VELASQUES"/>
    <x v="2"/>
    <s v="ADRIELE DA SILVA SOUZA"/>
    <x v="1"/>
    <s v="RUA MARECHAL FLORIANO PEIXOTO 2401"/>
    <s v="CENTRO"/>
    <s v="ROSARIO DO SUL"/>
    <s v="97590-000"/>
    <m/>
    <n v="0"/>
    <n v="5"/>
    <s v="NÃO"/>
    <s v="SONAVOIP"/>
    <s v="SONAVOIP"/>
    <n v="718"/>
    <s v="LOJA ROSARIO DO SUL"/>
    <x v="0"/>
  </r>
  <r>
    <n v="1449"/>
    <s v="LOJA SANTA MARIA - RS"/>
    <s v="DEBORA LOPES FROHNHOFER"/>
    <x v="1"/>
    <s v="ADRIELE DA SILVA SOUZA"/>
    <x v="1"/>
    <s v="RUA VENANCIO AIRES, Nº 1745 -LOJA B"/>
    <s v="CENTRO"/>
    <s v="SANTA MARIA"/>
    <s v="97010-003"/>
    <m/>
    <n v="0"/>
    <n v="6"/>
    <s v="NÃO"/>
    <s v="VERSÁTIL"/>
    <s v="BASE ÚNICA"/>
    <n v="621"/>
    <s v="LOJA SANTA MARIA/RS"/>
    <x v="0"/>
  </r>
  <r>
    <n v="10604"/>
    <s v="LOJA SANTIAGO  - RS"/>
    <s v="FABIOLA DAL ROSSO"/>
    <x v="2"/>
    <s v="ADRIELE DA SILVA SOUZA"/>
    <x v="1"/>
    <s v="RUA PINHEIRO MACHADO, 2034"/>
    <s v="CENTRO"/>
    <s v="SANTIAGO"/>
    <s v="97700-215"/>
    <m/>
    <n v="0"/>
    <n v="4"/>
    <s v="NÃO"/>
    <s v="SONAVOIP"/>
    <s v="SONAVOIP"/>
    <n v="768"/>
    <s v="LOJA SANTIAGO II"/>
    <x v="0"/>
  </r>
  <r>
    <n v="10897"/>
    <s v="LOJA SAO BORJA - RS"/>
    <s v="SIDIANE FALCAO ARDAIS"/>
    <x v="2"/>
    <s v="ADRIELE DA SILVA SOUZA"/>
    <x v="1"/>
    <s v="RUA CANDIDO FALCÃO, Nº 1086"/>
    <s v="CENTRO"/>
    <s v="SAO BORJA"/>
    <s v="97670-000"/>
    <m/>
    <n v="0"/>
    <n v="4"/>
    <s v="NÃO"/>
    <s v="VERSÁTIL"/>
    <s v="BASE ÚNICA"/>
    <n v="734"/>
    <s v="LOJA SAO BORJA - RS"/>
    <x v="0"/>
  </r>
  <r>
    <n v="10330"/>
    <s v="LOJA SÃO GABRIEL - RS"/>
    <s v="JESSICA VENUTA DE RODRIGUES NEVES"/>
    <x v="2"/>
    <s v="ADRIELE DA SILVA SOUZA"/>
    <x v="1"/>
    <s v="CORONEL SEZEFREDO Nº 791"/>
    <s v="CENTRO"/>
    <s v="SAO GABRIEL"/>
    <s v="97300-222"/>
    <d v="2020-09-21T00:00:00"/>
    <d v="2020-09-21T00:00:00"/>
    <n v="3"/>
    <s v="NÃO"/>
    <s v="VERSÁTIL"/>
    <s v="BASE ÚNICA"/>
    <n v="760"/>
    <s v="LOJA SAO GABRIEL/RS"/>
    <x v="0"/>
  </r>
  <r>
    <n v="1485"/>
    <s v="LOJA URUGUAIANA - RS"/>
    <s v="ELIZANGELA DE OLIVEIRA WITT"/>
    <x v="2"/>
    <s v="ADRIELE DA SILVA SOUZA"/>
    <x v="1"/>
    <s v="SANTANA Nº 2800"/>
    <s v="CENTRO"/>
    <s v="URUGUAIANA"/>
    <s v="97501-504"/>
    <m/>
    <n v="0"/>
    <n v="5"/>
    <s v="NÃO"/>
    <s v="VERSÁTIL"/>
    <s v="BASE ÚNICA"/>
    <n v="190"/>
    <s v="LOJA URUGUAIANA/RS"/>
    <x v="0"/>
  </r>
  <r>
    <n v="1487"/>
    <s v="LOJA CAMPO BOM - RS"/>
    <s v="LEONARA FABRICIA DOS SANTOS"/>
    <x v="3"/>
    <s v="ADRIELE DA SILVA SOUZA"/>
    <x v="1"/>
    <s v="AV BRASIL 3054 SALA 3 A"/>
    <s v="CENTRO"/>
    <s v="CAMPO BOM"/>
    <s v="93700-000"/>
    <m/>
    <n v="0"/>
    <n v="4"/>
    <s v="NÃO"/>
    <s v="VERSÁTIL"/>
    <s v="BASE ÚNICA"/>
    <n v="189"/>
    <s v="LOJA CAMPO BOM/RS"/>
    <x v="0"/>
  </r>
  <r>
    <n v="1416"/>
    <s v="LOJA IGREJINHA - RS"/>
    <s v="JONAS DIAS DA SILVEIRA"/>
    <x v="3"/>
    <s v="ADRIELE DA SILVA SOUZA"/>
    <x v="1"/>
    <s v="RUA 1º DE JUNHO, 141 - SALA 01"/>
    <s v="CENTRO"/>
    <s v="IGREJINHA"/>
    <s v="95650-000"/>
    <m/>
    <n v="0"/>
    <n v="3"/>
    <s v="NÃO"/>
    <s v="SONAVOIP"/>
    <s v="SONAVOIP"/>
    <n v="631"/>
    <s v="LOJA IGREJINHA/RS"/>
    <x v="0"/>
  </r>
  <r>
    <n v="1500"/>
    <s v="LOJA PORTO ALEGRE - ASSIS BRASIL - RS"/>
    <s v="CASSIA DA SILVA SILVEIRA"/>
    <x v="3"/>
    <s v="ADRIELE DA SILVA SOUZA"/>
    <x v="1"/>
    <s v="AV. ASSIS BRASIL, 2654 - LOJA 07"/>
    <s v="CRISTO REDENTOR"/>
    <s v="PORTO ALEGRE"/>
    <s v="91060-290"/>
    <m/>
    <n v="0"/>
    <n v="5"/>
    <s v="NÃO"/>
    <s v="SONAVOIP"/>
    <s v="SONAVOIP"/>
    <n v="500"/>
    <s v="LOJA ASSIS BRASIL - RS"/>
    <x v="0"/>
  </r>
  <r>
    <n v="19778"/>
    <s v="LOJA PORTO ALEGRE - VIGARIO - RS"/>
    <s v="SHAIENE DA CRUZ XAVIER"/>
    <x v="3"/>
    <s v="ADRIELE DA SILVA SOUZA"/>
    <x v="1"/>
    <s v="VIGÁRIO JOSE INÁCIO, 258"/>
    <s v="CENTRO HISTÓRICO"/>
    <s v="PORTO ALEGRE"/>
    <s v="90020-100"/>
    <m/>
    <n v="0"/>
    <n v="10"/>
    <s v="NÃO"/>
    <s v="SONAVOIP"/>
    <s v="SONAVOIP"/>
    <n v="303"/>
    <s v="LOJA VIGARIO II"/>
    <x v="0"/>
  </r>
  <r>
    <n v="1424"/>
    <s v="LOJA ROLANTE - RS"/>
    <s v="DEBORA DAIANA MARTINI"/>
    <x v="3"/>
    <s v="ADRIELE DA SILVA SOUZA"/>
    <x v="1"/>
    <s v="AV. BORGES DE MEDEIROS, 1909"/>
    <s v="CENTRO"/>
    <s v="ROLANTE"/>
    <s v="95690-000"/>
    <m/>
    <n v="0"/>
    <n v="3"/>
    <s v="NÃO"/>
    <s v="SONAVOIP"/>
    <s v="SONAVOIP"/>
    <n v="424"/>
    <s v="LOJA ROLANTE/RS"/>
    <x v="0"/>
  </r>
  <r>
    <n v="1427"/>
    <s v="LOJA SANTO ANTONIO DA PATRULHA - RS"/>
    <s v="LUCAS GABRIEL FAGUNDES DE SOUZA DA SILVA"/>
    <x v="3"/>
    <s v="ADRIELE DA SILVA SOUZA"/>
    <x v="1"/>
    <s v="AV.PAULO MACIEL DE MORAES 1040"/>
    <s v="CENTRO"/>
    <s v="SANTO ANTONIO DA PATRULHA"/>
    <s v="95500-000"/>
    <m/>
    <n v="0"/>
    <n v="3"/>
    <s v="NÃO"/>
    <s v="SONAVOIP"/>
    <s v="SONAVOIP"/>
    <n v="624"/>
    <s v="LOJA SANTO ANTONIO DA PATRULHA/RS"/>
    <x v="0"/>
  </r>
  <r>
    <n v="1403"/>
    <s v="LOJA SAPIRANGA - RS"/>
    <s v="KAREN FRANCIELEN RODRIGUES JARDIM"/>
    <x v="3"/>
    <s v="ADRIELE DA SILVA SOUZA"/>
    <x v="1"/>
    <s v="AV VINTE DE SETEMBRO, 3801 SALA 06"/>
    <s v="CENTRO"/>
    <s v="SAPIRANGA"/>
    <s v="93800-238"/>
    <m/>
    <n v="0"/>
    <n v="3"/>
    <s v="NÃO"/>
    <s v="VERSÁTIL"/>
    <s v="BASE ÚNICA"/>
    <n v="407"/>
    <s v="LOJA SAPIRANGA/RS"/>
    <x v="0"/>
  </r>
  <r>
    <n v="1420"/>
    <s v="LOJA TAQUARA - RS"/>
    <s v="LUIZ HENRIQUE BRANDALIZE"/>
    <x v="3"/>
    <s v="ADRIELE DA SILVA SOUZA"/>
    <x v="1"/>
    <s v="RUA GUILHERME LAHN, 1282"/>
    <s v="CENTRO"/>
    <s v="TAQUARA"/>
    <s v="95600-104"/>
    <m/>
    <n v="0"/>
    <n v="5"/>
    <s v="NÃO"/>
    <s v="VERSÁTIL"/>
    <s v="BASE ÚNICA"/>
    <n v="614"/>
    <s v="LOJA TAQUARA/RS"/>
    <x v="0"/>
  </r>
  <r>
    <n v="1497"/>
    <s v="LOJA TORRES - RS"/>
    <s v="JULIE BARBOSA"/>
    <x v="3"/>
    <s v="ADRIELE DA SILVA SOUZA"/>
    <x v="1"/>
    <s v="XV DE NOVEMBRO 212 LOJA 01"/>
    <s v="CENTRO"/>
    <s v="TORRES"/>
    <s v="95560-000"/>
    <m/>
    <n v="0"/>
    <n v="3"/>
    <s v="SIM"/>
    <s v="SONAVOIP"/>
    <s v="SONAVOIP"/>
    <n v="723"/>
    <s v="LOJA TORRES - RS"/>
    <x v="0"/>
  </r>
  <r>
    <n v="1496"/>
    <s v="LOJA TRAMANDAI - RS"/>
    <s v="MIKE SANTOLIN DA SILVA"/>
    <x v="3"/>
    <s v="ADRIELE DA SILVA SOUZA"/>
    <x v="1"/>
    <s v="FERNANDES BASTOS 329 SALA 28 E 29"/>
    <s v="CENTRO"/>
    <s v="TRAMANDAI"/>
    <s v="95590-000"/>
    <m/>
    <n v="0"/>
    <n v="5"/>
    <s v="NÃO"/>
    <s v="SONAVOIP"/>
    <s v="SONAVOIP"/>
    <n v="724"/>
    <s v="LOJA TRAMANDAÍ"/>
    <x v="0"/>
  </r>
  <r>
    <n v="19714"/>
    <s v="LOJA TRES COROAS - RS"/>
    <s v="RAFAEL LEMOS"/>
    <x v="3"/>
    <s v="ADRIELE DA SILVA SOUZA"/>
    <x v="1"/>
    <s v="RUA MUNDO NOVO 188"/>
    <s v="CENTRO"/>
    <s v="TRES COROAS"/>
    <s v="95660-000"/>
    <m/>
    <n v="0"/>
    <n v="3"/>
    <s v="NÃO"/>
    <s v="SONAVOIP"/>
    <s v="SONAVOIP"/>
    <n v="720"/>
    <s v="LOJA TRES COROAS"/>
    <x v="0"/>
  </r>
  <r>
    <n v="1402"/>
    <s v="LOJA CANOAS - CENTRO - RS"/>
    <s v="MICHELE MARTINS DOS SANTOS"/>
    <x v="4"/>
    <s v="ADRIELE DA SILVA SOUZA"/>
    <x v="1"/>
    <s v="RUA TIRADENTES, 216 - LOJA 06"/>
    <s v="CENTRO"/>
    <s v="CANOAS"/>
    <s v="92010-260"/>
    <m/>
    <n v="0"/>
    <n v="6"/>
    <s v="NÃO"/>
    <s v="VERSÁTIL"/>
    <s v="TRONCO"/>
    <n v="402"/>
    <s v="LOJA CANOAS/RS"/>
    <x v="0"/>
  </r>
  <r>
    <n v="1458"/>
    <s v="LOJA CANOAS - GUAJUVIRAS - RS"/>
    <s v="FABIELI DE ARAUJO VIEIRA MARTINS"/>
    <x v="4"/>
    <s v="ADRIELE DA SILVA SOUZA"/>
    <x v="1"/>
    <s v="RUA BOQUEIRÃO Nº 706 SALA 02"/>
    <s v="GUAJUVIRAS"/>
    <s v="CANOAS"/>
    <s v="92032-420"/>
    <m/>
    <n v="0"/>
    <n v="4"/>
    <s v="NÃO"/>
    <s v="VERSÁTIL"/>
    <s v="TRONCO"/>
    <n v="284"/>
    <s v="LOJA CANOAS - GUAJUVIRAS/RS"/>
    <x v="0"/>
  </r>
  <r>
    <n v="1421"/>
    <s v="LOJA ESTEIO - RS"/>
    <s v="JIANINI DA SILVA MARIN"/>
    <x v="4"/>
    <s v="ADRIELE DA SILVA SOUZA"/>
    <x v="1"/>
    <s v="AV. PRESIDENTE VARGAS,2123"/>
    <s v="CENTRO"/>
    <s v="ESTEIO"/>
    <s v="93270-580"/>
    <m/>
    <n v="0"/>
    <n v="7"/>
    <s v="NÃO"/>
    <s v="VERSÁTIL"/>
    <s v="BASE ÚNICA"/>
    <n v="630"/>
    <s v="LOJA ESTEIO/RS"/>
    <x v="0"/>
  </r>
  <r>
    <n v="1476"/>
    <s v="LOJA NOVO HAMBURGO - RS"/>
    <s v="JESSICA LUANA SIQUEIRA COELHO"/>
    <x v="4"/>
    <s v="ADRIELE DA SILVA SOUZA"/>
    <x v="1"/>
    <s v="AV CALCADAO OSVALDO CRUZ, 127"/>
    <s v="CENTRO"/>
    <s v="NOVO HAMBURGO"/>
    <s v="93510-015"/>
    <m/>
    <n v="0"/>
    <n v="6"/>
    <s v="NÃO"/>
    <s v="VERSÁTIL"/>
    <s v="TRONCO"/>
    <n v="163"/>
    <s v="LOJA NOVO HAMBURGO/RS"/>
    <x v="0"/>
  </r>
  <r>
    <n v="10678"/>
    <s v="LOJA NOVO HAMBURGO 2 - RS"/>
    <s v="ALEX SANDER MAUZER MACEDO"/>
    <x v="4"/>
    <s v="ADRIELE DA SILVA SOUZA"/>
    <x v="1"/>
    <s v="RUA BENTO GONÇALVES, 2423, SALA 01"/>
    <s v="CENTRO"/>
    <s v="NOVO HAMBURGO"/>
    <s v="93510-000"/>
    <m/>
    <n v="0"/>
    <n v="5"/>
    <s v="NÃO"/>
    <s v="VERSÁTIL"/>
    <s v="TRONCO"/>
    <n v="780"/>
    <s v="LOJA NOVO HAMBURGO II/RS"/>
    <x v="0"/>
  </r>
  <r>
    <n v="1417"/>
    <s v="LOJA SAO LEOPOLDO - RS"/>
    <s v="FERNANDA COSTA DA ROCHA "/>
    <x v="4"/>
    <s v="ADRIELE DA SILVA SOUZA"/>
    <x v="1"/>
    <s v="RUA INDEPENDENCIA, 636 - LOJA 6"/>
    <s v="CENTRO"/>
    <s v="SAO LEOPOLDO"/>
    <s v="93010-002"/>
    <m/>
    <n v="0"/>
    <n v="5"/>
    <s v="NÃO"/>
    <s v="VERSÁTIL"/>
    <s v="TRONCO"/>
    <n v="417"/>
    <s v="LOJA SAO LEOPOLDO"/>
    <x v="0"/>
  </r>
  <r>
    <n v="10627"/>
    <s v="LOJA SAO LEOPOLDO II - RS"/>
    <s v="MARISANGELA SCHIEFELBEIN"/>
    <x v="4"/>
    <s v="ADRIELE DA SILVA SOUZA"/>
    <x v="1"/>
    <s v="RUA LINDOLFO COLLOR, Nº 789 SALA 1"/>
    <s v="CENTRO"/>
    <s v="SAO LEOPOLDO"/>
    <s v="93010-080"/>
    <m/>
    <n v="0"/>
    <n v="5"/>
    <s v="NÃO"/>
    <s v="VERSÁTIL"/>
    <s v="TRONCO"/>
    <n v="774"/>
    <s v="LOJA SAO LEOPOLDO II"/>
    <x v="0"/>
  </r>
  <r>
    <n v="1418"/>
    <s v="LOJA SAPUCAIA DO SUL I - RS"/>
    <s v="MAGLUSON SCHARDONG MATOZO"/>
    <x v="4"/>
    <s v="ADRIELE DA SILVA SOUZA"/>
    <x v="1"/>
    <s v="RUA: CEL. JOÃO CORRÊA, 23 LOJA 05"/>
    <s v="CENTRO"/>
    <s v="SAPUCAIA DO SUL"/>
    <s v="93220-100"/>
    <m/>
    <n v="0"/>
    <n v="6"/>
    <s v="NÃO"/>
    <s v="VERSÁTIL"/>
    <s v="TRONCO"/>
    <n v="418"/>
    <s v="LOJA SAPUCAIA DO SUL/RS"/>
    <x v="0"/>
  </r>
  <r>
    <n v="1419"/>
    <s v="LOJA SAPUCAIA DO SUL II - RS"/>
    <s v="BRUNA DE ARAUJO VIEIRA DA ROSA"/>
    <x v="4"/>
    <s v="ADRIELE DA SILVA SOUZA"/>
    <x v="1"/>
    <s v="AVENIDA SAPUCAIA, 2089 "/>
    <s v="CENTRO"/>
    <s v="SAPUCAIA DO SUL"/>
    <s v="93210-240"/>
    <m/>
    <n v="0"/>
    <n v="5"/>
    <s v="NÃO"/>
    <s v="VERSÁTIL"/>
    <s v="TRONCO"/>
    <n v="730"/>
    <s v="LOJA SAPUCAIA DO SUL II/RS"/>
    <x v="0"/>
  </r>
  <r>
    <n v="600076"/>
    <s v="LOJA DIADEMA - SP"/>
    <s v="JOSE ULISSES FELIX DA SILVA"/>
    <x v="5"/>
    <s v="CINARA REGINA KEMERICH"/>
    <x v="2"/>
    <s v="RUA NOSSA SENHORA DAS VITORIAS, 79"/>
    <s v="CENTRO"/>
    <s v="DIADEMA"/>
    <s v="09910-140"/>
    <d v="2022-03-28T00:00:00"/>
    <d v="2022-03-28T00:00:00"/>
    <n v="5"/>
    <s v="NÃO"/>
    <s v="SONAVOIP"/>
    <s v="SONAVOIP"/>
    <n v="468"/>
    <s v="LOJA DIADEMA - SP"/>
    <x v="0"/>
  </r>
  <r>
    <n v="600075"/>
    <s v="LOJA MAUA - SP"/>
    <s v="CINDY MAGALI DE SANTO DELGADO"/>
    <x v="5"/>
    <s v="CINARA REGINA KEMERICH"/>
    <x v="2"/>
    <s v="RUA RUI BARBOSA, 35"/>
    <s v="CENTRO"/>
    <s v="MAUA"/>
    <s v="09390-000"/>
    <d v="2022-04-11T00:00:00"/>
    <d v="2022-04-11T00:00:00"/>
    <n v="4"/>
    <s v="NÃO"/>
    <s v="SONAVOIP"/>
    <s v="SONAVOIP"/>
    <n v="466"/>
    <s v="LOJA MAUA - SP"/>
    <x v="0"/>
  </r>
  <r>
    <n v="600080"/>
    <s v="LOJA MOGI DAS CRUZES - SP"/>
    <s v="SIDNEY GOMES JUNIOR"/>
    <x v="6"/>
    <s v="CINARA REGINA KEMERICH"/>
    <x v="2"/>
    <s v="RUA JOSÉ BONIFACIO, 178"/>
    <s v="CENTRO"/>
    <s v="MOGI DAS CRUZES"/>
    <s v="08710-070"/>
    <d v="2022-04-04T00:00:00"/>
    <d v="2022-04-04T00:00:00"/>
    <n v="5"/>
    <s v="NÃO"/>
    <s v="SONAVOIP"/>
    <s v="SONAVOIP"/>
    <n v="886"/>
    <s v="LOJA MOGI DAS CRUZES"/>
    <x v="0"/>
  </r>
  <r>
    <n v="5503"/>
    <s v="LOJA PRAIA GRANDE - SP"/>
    <s v="LETICIA URBANO DE JESUS NEVES"/>
    <x v="5"/>
    <s v="CINARA REGINA KEMERICH"/>
    <x v="2"/>
    <s v="RUA DR VICENTE DE CARVALHO, 531 LOJA 4"/>
    <s v="OCIAN"/>
    <s v="PRAIA GRANDE"/>
    <s v="11704-300"/>
    <m/>
    <n v="0"/>
    <n v="3"/>
    <s v="NÃO"/>
    <s v="VERSÁTIL"/>
    <s v="BASE ÚNICA"/>
    <n v="81"/>
    <s v="LOJA PRAIA GRANDE/SP"/>
    <x v="0"/>
  </r>
  <r>
    <n v="600077"/>
    <s v="LOJA SANTO ANDRE - SP"/>
    <s v="ELAINE CRISTINA ALVES DA SILVA"/>
    <x v="5"/>
    <s v="CINARA REGINA KEMERICH"/>
    <x v="2"/>
    <s v="RUA CORONEL FRANCISCO AMARO, 267, SL 2 EDIF. FRANC"/>
    <s v="CENTRO"/>
    <s v="SANTO ANDRE"/>
    <s v="09020-250"/>
    <d v="2022-04-26T00:00:00"/>
    <d v="2022-04-26T00:00:00"/>
    <n v="6"/>
    <s v="NÃO"/>
    <s v="SONAVOIP"/>
    <s v="SONAVOIP"/>
    <n v="893"/>
    <s v="LOJA SANTO ANDRE - SP"/>
    <x v="0"/>
  </r>
  <r>
    <n v="50731"/>
    <s v="LOJA SANTOS - SP"/>
    <s v="SILVANA DE FATIMA CENCI"/>
    <x v="5"/>
    <s v="CINARA REGINA KEMERICH"/>
    <x v="2"/>
    <s v="RUA FREI GASPAR, 83"/>
    <s v="CENTRO"/>
    <s v="SANTOS"/>
    <s v="11010-090"/>
    <m/>
    <n v="0"/>
    <n v="5"/>
    <s v="NÃO"/>
    <s v="VERSÁTIL"/>
    <s v="BASE ÚNICA"/>
    <n v="291"/>
    <s v="LOJA SANTOS/SP"/>
    <x v="0"/>
  </r>
  <r>
    <n v="600078"/>
    <s v="LOJA SAO CAETANO - SP"/>
    <s v="JOAO GABRIEL SANTANA SANTOS"/>
    <x v="6"/>
    <s v="CINARA REGINA KEMERICH"/>
    <x v="2"/>
    <s v="RUA MANOEL COELHO, 325, LOJA 20"/>
    <s v="CENTRO"/>
    <s v="SAO CAETANO DO SUL"/>
    <s v="09510-110"/>
    <d v="2022-04-26T00:00:00"/>
    <d v="2022-04-26T00:00:00"/>
    <n v="4"/>
    <s v="NÃO"/>
    <s v="SONAVOIP"/>
    <s v="SONAVOIP"/>
    <n v="467"/>
    <s v="LOJA SAO CAETANO - SP"/>
    <x v="0"/>
  </r>
  <r>
    <n v="50400"/>
    <s v="LOJA SAO VICENTE - SP"/>
    <s v="DARLANE MACEDO FRAGA"/>
    <x v="5"/>
    <s v="CINARA REGINA KEMERICH"/>
    <x v="2"/>
    <s v="RUA JACOB EMERICK, 393 LOJA 2"/>
    <s v="CENTRO"/>
    <s v="SAO VICENTE"/>
    <s v="11310-010"/>
    <m/>
    <n v="0"/>
    <n v="7"/>
    <s v="NÃO"/>
    <s v="VERSÁTIL"/>
    <s v="BASE ÚNICA"/>
    <n v="275"/>
    <s v="LOJA SAO VICENTE/SP"/>
    <x v="0"/>
  </r>
  <r>
    <n v="600064"/>
    <s v="LOJA SUZANO SP"/>
    <s v="Sem supervisor"/>
    <x v="7"/>
    <s v="CINARA REGINA KEMERICH"/>
    <x v="2"/>
    <s v="RUA GERERAL FRANCISCO GLICERIO 950"/>
    <s v="CENTRO"/>
    <s v="SUZANO"/>
    <s v="08674-002"/>
    <d v="2021-12-14T00:00:00"/>
    <d v="2021-12-14T00:00:00"/>
    <n v="5"/>
    <s v="NÃO"/>
    <s v="VERSÁTIL"/>
    <s v="BASE ÚNICA"/>
    <n v="889"/>
    <s v="LOJA SUZANO"/>
    <x v="0"/>
  </r>
  <r>
    <n v="50809"/>
    <s v="LOJA ARARAQUARA - SP"/>
    <s v="KAREN GOMES DE OLIVEIRA"/>
    <x v="8"/>
    <s v="CINARA REGINA KEMERICH"/>
    <x v="2"/>
    <s v="AV.FEIJO Nº 336 "/>
    <s v="CENTRO"/>
    <s v="ARARAQUARA"/>
    <s v="14801-140"/>
    <m/>
    <n v="0"/>
    <n v="5"/>
    <s v="SIM"/>
    <s v="VERSÁTIL"/>
    <s v="BASE ÚNICA"/>
    <n v="308"/>
    <s v="LOJA ARARAQUARA - SP"/>
    <x v="0"/>
  </r>
  <r>
    <n v="54469"/>
    <s v="LOJA BARAO GERALDO - SP"/>
    <s v="HEVELINS CARVALHO DA SILVA"/>
    <x v="9"/>
    <s v="CINARA REGINA KEMERICH"/>
    <x v="2"/>
    <s v="Rua Horácio Leonardi 92"/>
    <s v="BARÃO GERALDO"/>
    <s v="CAMPINAS"/>
    <s v="13084-105"/>
    <d v="2022-04-04T00:00:00"/>
    <d v="2022-04-04T00:00:00"/>
    <n v="4"/>
    <s v="NÃO"/>
    <s v="SONAVOIP"/>
    <s v="SONAVOIP"/>
    <n v="483"/>
    <s v="LOJA CAMPINAS - BARAO GERALDO - SP"/>
    <x v="0"/>
  </r>
  <r>
    <n v="53556"/>
    <s v="LOJA BAURU - SP"/>
    <s v="NATALIA NOVELLI"/>
    <x v="8"/>
    <s v="CINARA REGINA KEMERICH"/>
    <x v="2"/>
    <s v="RUA TREZE DE MAIO, N 3-20 "/>
    <s v="CENTRO"/>
    <s v="BAURU"/>
    <s v="17010-230"/>
    <m/>
    <n v="0"/>
    <n v="6"/>
    <s v="NÃO"/>
    <s v="VERSÁTIL"/>
    <s v="BASE ÚNICA"/>
    <n v="197"/>
    <s v="LOJA BAURU - SP"/>
    <x v="0"/>
  </r>
  <r>
    <n v="5502"/>
    <s v="LOJA CAMPINAS - SP"/>
    <s v="Sem supervisor"/>
    <x v="9"/>
    <s v="CINARA REGINA KEMERICH"/>
    <x v="2"/>
    <s v="RUA JOSÉ PAULINO Nº 753"/>
    <s v="CENTRO"/>
    <s v="CAMPINAS"/>
    <s v="13013-001"/>
    <m/>
    <n v="0"/>
    <n v="5"/>
    <s v="SIM"/>
    <s v="VERSÁTIL"/>
    <s v="BASE ÚNICA"/>
    <n v="45"/>
    <s v="LOJA CAMPINAS/SP"/>
    <x v="0"/>
  </r>
  <r>
    <n v="54464"/>
    <s v="LOJA JAU - SP"/>
    <s v="LIDIA BRUNA AMADEU XAVIER"/>
    <x v="8"/>
    <s v="CINARA REGINA KEMERICH"/>
    <x v="2"/>
    <s v="LOURENÇO PRADO, Nº 236 "/>
    <s v="CENTRO"/>
    <s v="JAU"/>
    <s v="17201-000"/>
    <d v="2021-01-25T00:00:00"/>
    <d v="2021-01-25T00:00:00"/>
    <n v="4"/>
    <s v="NÃO"/>
    <s v="VERSÁTIL"/>
    <s v="BASE ÚNICA"/>
    <n v="829"/>
    <s v="LOJA JAU - SP"/>
    <x v="0"/>
  </r>
  <r>
    <n v="54465"/>
    <s v="LOJA LIMEIRA - SP"/>
    <s v="EVA MONICA RAFAELA ALVES"/>
    <x v="9"/>
    <s v="CINARA REGINA KEMERICH"/>
    <x v="2"/>
    <s v="PRAÇA TOLEDO BARROS, Nº 296"/>
    <s v="CENTRO"/>
    <s v="LIMEIRA"/>
    <s v="13480-008"/>
    <d v="2021-01-18T00:00:00"/>
    <d v="2021-01-18T00:00:00"/>
    <n v="4"/>
    <s v="SIM"/>
    <s v="VERSÁTIL"/>
    <s v="BASE ÚNICA"/>
    <n v="830"/>
    <s v="LOJA LIMEIRA - SP"/>
    <x v="0"/>
  </r>
  <r>
    <n v="54466"/>
    <s v="LOJA MARILIA - SP"/>
    <s v="Sem supervisor"/>
    <x v="8"/>
    <s v="CINARA REGINA KEMERICH"/>
    <x v="2"/>
    <s v="AV SAMPAIO VIDAL, Nº 851"/>
    <s v="CENTRO"/>
    <s v="MARILIA"/>
    <s v="17525-040"/>
    <d v="2021-01-18T00:00:00"/>
    <d v="2021-01-18T00:00:00"/>
    <n v="5"/>
    <s v="NÃO"/>
    <s v="VERSÁTIL"/>
    <s v="BASE ÚNICA"/>
    <n v="831"/>
    <s v="LOJA MARILIA - SP"/>
    <x v="0"/>
  </r>
  <r>
    <n v="54471"/>
    <s v="LOJA OURINHOS - SP"/>
    <s v="Sem supervisor"/>
    <x v="8"/>
    <s v="CINARA REGINA KEMERICH"/>
    <x v="2"/>
    <s v="AV. DOUTOR ALTINO ARANTES, 180"/>
    <s v="CENTRO"/>
    <s v="OURINHOS"/>
    <s v="19900-041"/>
    <d v="2021-02-15T00:00:00"/>
    <d v="2021-02-15T00:00:00"/>
    <n v="4"/>
    <s v="NÃO"/>
    <s v="VERSÁTIL"/>
    <s v="BASE ÚNICA"/>
    <n v="832"/>
    <s v="LOJA OURINHOS - SP"/>
    <x v="0"/>
  </r>
  <r>
    <n v="54444"/>
    <s v="LOJA PIRACICABA - SP"/>
    <s v="ROSEMEIRE GUERRERO NEVES"/>
    <x v="9"/>
    <s v="CINARA REGINA KEMERICH"/>
    <x v="2"/>
    <s v="PRAÇA JOSÉ BONIFÁCIO, 813"/>
    <s v="CENTRO"/>
    <s v="PIRACICABA"/>
    <s v="13400-340"/>
    <d v="2021-01-18T00:00:00"/>
    <d v="2021-01-18T00:00:00"/>
    <n v="5"/>
    <s v="SIM"/>
    <s v="VERSÁTIL"/>
    <s v="BASE ÚNICA"/>
    <n v="834"/>
    <s v="LOJA PIRACICABA - SP"/>
    <x v="0"/>
  </r>
  <r>
    <n v="50499"/>
    <s v="LOJA RIBEIRAO PRETO - SP"/>
    <s v="JEFERSON CARLOS BOA PIMENTA"/>
    <x v="8"/>
    <s v="CINARA REGINA KEMERICH"/>
    <x v="2"/>
    <s v="RUA AMADOR BUENO Nº 620"/>
    <s v="CENTRO"/>
    <s v="RIBEIRAO PRETO"/>
    <s v="14010-070"/>
    <m/>
    <n v="0"/>
    <n v="5"/>
    <s v="SIM"/>
    <s v="VERSÁTIL"/>
    <s v="BASE ÚNICA"/>
    <n v="289"/>
    <s v="LOJA RIBEIRAO PRETO/SP"/>
    <x v="0"/>
  </r>
  <r>
    <n v="54467"/>
    <s v="LOJA RIO CLARO - SP"/>
    <s v="THAINA MARCHI CONEJO"/>
    <x v="9"/>
    <s v="CINARA REGINA KEMERICH"/>
    <x v="2"/>
    <s v="Rua 04, 1143"/>
    <s v="CENTRO"/>
    <s v="RIO CLARO"/>
    <s v="13500-170"/>
    <d v="2021-01-18T00:00:00"/>
    <d v="2021-01-18T00:00:00"/>
    <n v="5"/>
    <s v="SIM"/>
    <s v="VERSÁTIL"/>
    <s v="BASE ÚNICA"/>
    <n v="835"/>
    <s v="LOJA RIO CLARO - SP"/>
    <x v="0"/>
  </r>
  <r>
    <n v="54468"/>
    <s v="LOJA SÃO CARLOS - SP"/>
    <s v="VITORIA FAION STETER"/>
    <x v="9"/>
    <s v="CINARA REGINA KEMERICH"/>
    <x v="2"/>
    <s v="AV SÃO CARLOS, Nº 1175"/>
    <s v="CENTRO"/>
    <s v="SAO CARLOS"/>
    <s v="13560-010"/>
    <d v="2021-02-01T00:00:00"/>
    <d v="2021-02-01T00:00:00"/>
    <n v="4"/>
    <s v="SIM"/>
    <s v="VERSÁTIL"/>
    <s v="BASE ÚNICA"/>
    <n v="837"/>
    <s v="LOJA SAO CARLOS - SP"/>
    <x v="0"/>
  </r>
  <r>
    <n v="50590"/>
    <s v="LOJA SAO JOSE DO RIO PRETO - SP"/>
    <s v="NORIVAL JUNIOR PIRRI"/>
    <x v="8"/>
    <s v="CINARA REGINA KEMERICH"/>
    <x v="2"/>
    <s v="GENERAL GLICÉRIO Nº 3181 "/>
    <s v="CENTRO"/>
    <s v="SAO JOSE DO RIO PRETO"/>
    <s v="15015-400"/>
    <m/>
    <n v="0"/>
    <n v="4"/>
    <s v="SIM"/>
    <s v="VERSÁTIL"/>
    <s v="BASE ÚNICA"/>
    <n v="290"/>
    <s v="LOJA SAO JOSE DO RIO PRETO/SP"/>
    <x v="0"/>
  </r>
  <r>
    <n v="50850"/>
    <s v="LOJA SUMARE - SP"/>
    <s v="Sem supervisor"/>
    <x v="9"/>
    <s v="CINARA REGINA KEMERICH"/>
    <x v="2"/>
    <s v="ANTONIO DO VALE MELLO Nº 658"/>
    <s v="CENTRO"/>
    <s v="SUMARE"/>
    <s v="13170-010"/>
    <m/>
    <n v="0"/>
    <n v="5"/>
    <s v="SIM"/>
    <s v="VERSÁTIL"/>
    <s v="BASE ÚNICA"/>
    <n v="445"/>
    <s v="LOJA SUMARE/SP"/>
    <x v="0"/>
  </r>
  <r>
    <n v="6000034"/>
    <s v="LOJA VALINHOS - SP"/>
    <s v="MYLENA CRISTINA PINHEIRO"/>
    <x v="9"/>
    <s v="CINARA REGINA KEMERICH"/>
    <x v="2"/>
    <s v="RUA TREZE DE MAIO, 155, SALA 01 E 03"/>
    <s v="CENTRO"/>
    <s v="VALINHOS"/>
    <s v="13270-020"/>
    <d v="2022-03-28T00:00:00"/>
    <d v="2022-03-28T00:00:00"/>
    <n v="4"/>
    <s v="NÃO"/>
    <s v="SONAVOIP"/>
    <s v="SONAVOIP"/>
    <n v="476"/>
    <s v="LOJA VALINHOS - SP"/>
    <x v="0"/>
  </r>
  <r>
    <n v="6000043"/>
    <s v="LOJA ARTHUR ALVIM - SP"/>
    <s v="CRISTIANE DE LATORRE JODAS"/>
    <x v="7"/>
    <s v="CINARA REGINA KEMERICH"/>
    <x v="2"/>
    <s v="RUA DOUTOR CAMPOS MOURA , 99 SALA 1"/>
    <s v="ARTHUR ALVIM "/>
    <s v="SAO PAULO"/>
    <s v="03568-010"/>
    <d v="2022-06-01T00:00:00"/>
    <d v="2022-06-01T00:00:00"/>
    <n v="4"/>
    <s v="NÃO"/>
    <s v="SONAVOIP"/>
    <s v="SONAVOIP"/>
    <n v="488"/>
    <s v="LOJA ARTHUR ALVIM - SP"/>
    <x v="0"/>
  </r>
  <r>
    <n v="5504"/>
    <s v="LOJA ITAQUAQUECETUBA - SP"/>
    <s v="FABIANA DO NASCIMENTO VIEIRA PRIMO"/>
    <x v="7"/>
    <s v="CINARA REGINA KEMERICH"/>
    <x v="2"/>
    <s v="RUA SEBASTIÃO FERREIRA DOS SANTOS Nº 102, SALA 04"/>
    <s v="CENTRO"/>
    <s v="ITAQUAQUECETUBA"/>
    <s v="08570-060"/>
    <m/>
    <n v="0"/>
    <n v="5"/>
    <s v="NÃO"/>
    <s v="VERSÁTIL"/>
    <s v="BASE ÚNICA"/>
    <n v="82"/>
    <s v="LOJA ITAQUAQUECETUBA/SP"/>
    <x v="0"/>
  </r>
  <r>
    <n v="5501"/>
    <s v="LOJA ITAQUERA - SP"/>
    <s v="CARLA ALVES ALBUQUERQUE CARNEIRO"/>
    <x v="7"/>
    <s v="CINARA REGINA KEMERICH"/>
    <x v="2"/>
    <s v="RUA GREGORIO RAMALHO, 71"/>
    <s v="ITAQUERA"/>
    <s v="SAO PAULO"/>
    <s v="08210-430"/>
    <m/>
    <n v="0"/>
    <n v="5"/>
    <s v="NÃO"/>
    <s v="VERSÁTIL"/>
    <s v="TRONCO"/>
    <n v="44"/>
    <s v="LOJA ITAQUERA/SP"/>
    <x v="0"/>
  </r>
  <r>
    <n v="6000036"/>
    <s v="LOJA MATEUS - SP"/>
    <s v="KAMILA TAUBALD"/>
    <x v="7"/>
    <s v="CINARA REGINA KEMERICH"/>
    <x v="2"/>
    <s v="AVENIDA MATEO BEI, 2541"/>
    <s v="SÃO MATEUS"/>
    <s v="SAO PAULO"/>
    <s v="03949-012"/>
    <d v="2022-04-04T00:00:00"/>
    <d v="2022-04-04T00:00:00"/>
    <n v="4"/>
    <s v="NÃO"/>
    <s v="SONAVOIP"/>
    <s v="SONAVOIP"/>
    <n v="479"/>
    <s v="LOJA SAO MATEUS - SP"/>
    <x v="0"/>
  </r>
  <r>
    <n v="6000040"/>
    <s v="LOJA SAO MIGUEL - SP"/>
    <s v="SIDNEY DOS SANTOS ROSA"/>
    <x v="7"/>
    <s v="CINARA REGINA KEMERICH"/>
    <x v="2"/>
    <s v="AV. MARECHAL TITO, 1000"/>
    <s v="SAO MIGUEL PAULISTA"/>
    <s v="SAO PAULO"/>
    <s v="08010-090"/>
    <d v="2022-04-27T00:00:00"/>
    <d v="2022-04-27T00:00:00"/>
    <n v="4"/>
    <s v="NÃO"/>
    <s v="SONAVOIP"/>
    <s v="SONAVOIP"/>
    <n v="478"/>
    <s v="LOJA SAO MIGUEL - SP"/>
    <x v="0"/>
  </r>
  <r>
    <n v="5506"/>
    <s v="LOJA SAO PAULO - PENHA - SP"/>
    <s v="NATALIA DE SOUZA"/>
    <x v="7"/>
    <s v="CINARA REGINA KEMERICH"/>
    <x v="2"/>
    <s v="RUA: PADRE JOÃO,  257"/>
    <s v="PENHA"/>
    <s v="SAO PAULO"/>
    <s v="03637-000"/>
    <m/>
    <n v="0"/>
    <n v="4"/>
    <s v="NÃO"/>
    <s v="VERSÁTIL"/>
    <s v="TRONCO"/>
    <n v="85"/>
    <s v="LOJA PENHA/SP"/>
    <x v="0"/>
  </r>
  <r>
    <n v="600081"/>
    <s v="LOJA TATUAPE - SP"/>
    <s v="JULIA DE ALMEIDA SILVA"/>
    <x v="7"/>
    <s v="CINARA REGINA KEMERICH"/>
    <x v="2"/>
    <s v="RUA TUIUTI, 2179"/>
    <s v="TATUAPE"/>
    <s v="SAO PAULO"/>
    <s v="03307-005"/>
    <d v="2022-04-04T00:00:00"/>
    <d v="2022-04-04T00:00:00"/>
    <n v="4"/>
    <s v="NÃO"/>
    <s v="SONAVOIP"/>
    <s v="SONAVOIP"/>
    <n v="473"/>
    <s v="LOJA TATUAPE - SP"/>
    <x v="0"/>
  </r>
  <r>
    <n v="31174"/>
    <s v="LOJA ALMIRANTE TAMANDARÉ - PR"/>
    <s v="ANA CAROLINA RIBEIRO"/>
    <x v="10"/>
    <s v="CINARA REGINA KEMERICH"/>
    <x v="3"/>
    <s v="AV. EMÍLIO JOHSON, Nº 174"/>
    <s v="VILA SANTA TEREZINHA"/>
    <s v="ALMIRANTE TAMANDARE"/>
    <s v="83501-000"/>
    <m/>
    <n v="0"/>
    <n v="4"/>
    <s v="NÃO"/>
    <s v="VERSÁTIL"/>
    <s v="BASE ÚNICA"/>
    <n v="735"/>
    <s v="LOJA ALMIRANTE TAMANDARE- PR"/>
    <x v="0"/>
  </r>
  <r>
    <n v="3802"/>
    <s v="LOJA CURITIBA - PR"/>
    <s v="IZABEL CRISTINA SILVEIRA"/>
    <x v="10"/>
    <s v="CINARA REGINA KEMERICH"/>
    <x v="3"/>
    <s v="RUA ANDRE DE BARROS Nº 205"/>
    <s v="CENTRO"/>
    <s v="CURITIBA"/>
    <s v="80010-080"/>
    <m/>
    <n v="0"/>
    <n v="6"/>
    <s v="NÃO"/>
    <s v="VERSÁTIL"/>
    <s v="BASE ÚNICA"/>
    <n v="133"/>
    <s v="LOJA CURITIBA/PR"/>
    <x v="0"/>
  </r>
  <r>
    <n v="3801"/>
    <s v="LOJA FAZENDA RIO GRANDE - PR"/>
    <s v="PEDRO HENRIQUE BATISTA DA COSTA"/>
    <x v="10"/>
    <s v="CINARA REGINA KEMERICH"/>
    <x v="3"/>
    <s v="RUA:CESAR CARELLI  Nº 151 SALA 1 "/>
    <s v="PIONEIROS"/>
    <s v="FAZENDA RIO GRANDE"/>
    <s v="83833-054"/>
    <m/>
    <n v="0"/>
    <n v="4"/>
    <s v="NÃO"/>
    <s v="VERSÁTIL"/>
    <s v="BASE ÚNICA"/>
    <n v="125"/>
    <s v="LOJA FAZENDA RIO GRANDE - PR"/>
    <x v="0"/>
  </r>
  <r>
    <n v="30110"/>
    <s v="LOJA PARANAGUA - PR"/>
    <s v="SUZIANNE FERNANDES DE MORAIS"/>
    <x v="10"/>
    <s v="CINARA REGINA KEMERICH"/>
    <x v="3"/>
    <s v="TRAVESSA NOVE DE AGOSTO Nº 13"/>
    <s v="CENTRO HISTORICO"/>
    <s v="PARANAGUA"/>
    <s v="83203-006"/>
    <m/>
    <n v="0"/>
    <n v="6"/>
    <s v="NÃO"/>
    <s v="VERSÁTIL"/>
    <s v="BASE ÚNICA"/>
    <n v="306"/>
    <s v="LOJA PARANAGUA/PR"/>
    <x v="0"/>
  </r>
  <r>
    <n v="31220"/>
    <s v="LOJA PONTA GROSSA - PR"/>
    <s v="CAMILA ANAIR MOREIRA"/>
    <x v="10"/>
    <s v="CINARA REGINA KEMERICH"/>
    <x v="3"/>
    <s v="RUA SANTOS DUMONT Nº 882."/>
    <s v="CENTRO"/>
    <s v="PONTA GROSSA"/>
    <s v="84010-360"/>
    <m/>
    <n v="0"/>
    <n v="5"/>
    <s v="NÃO"/>
    <s v="VERSÁTIL"/>
    <s v="BASE ÚNICA"/>
    <n v="741"/>
    <s v="LOJA PONTA GROSSA - PR"/>
    <x v="0"/>
  </r>
  <r>
    <n v="31175"/>
    <s v="LOJA SAO JOSÉ DOS PINHAIS"/>
    <s v="Sem supervisor"/>
    <x v="10"/>
    <s v="CINARA REGINA KEMERICH"/>
    <x v="3"/>
    <s v="RUA DR. MARCELINO NOGUEIRA 190"/>
    <s v="CENTRO"/>
    <s v="SAO JOSE DOS PINHAIS"/>
    <s v="83005-370"/>
    <m/>
    <n v="0"/>
    <n v="4"/>
    <s v="NÃO"/>
    <s v="VERSÁTIL"/>
    <s v="BASE ÚNICA"/>
    <n v="736"/>
    <s v="LOJA SAO JOSE DOS PINHAIS/PR"/>
    <x v="0"/>
  </r>
  <r>
    <n v="6000038"/>
    <s v="LOJA ATIBAIA - SP"/>
    <s v="EVELYN SUZAN CONCEICAO SENA"/>
    <x v="6"/>
    <s v="CINARA REGINA KEMERICH"/>
    <x v="2"/>
    <s v="RUA THOME FRANCO, 258"/>
    <s v="CENTRO"/>
    <s v="ATIBAIA"/>
    <s v="12940-680"/>
    <d v="2022-05-10T00:00:00"/>
    <d v="2022-05-10T00:00:00"/>
    <n v="4"/>
    <s v="SIM"/>
    <s v="SONAVOIP"/>
    <s v="SONAVOIP"/>
    <n v="480"/>
    <s v="LOJA ATIBAIA - SP"/>
    <x v="0"/>
  </r>
  <r>
    <n v="6000045"/>
    <s v="LOJA FRANCISCO MORATO - SP"/>
    <s v="PATRICIA GOMES JEREMIAS"/>
    <x v="6"/>
    <s v="CINARA REGINA KEMERICH"/>
    <x v="2"/>
    <s v="RUA JOAO MENDES JUNIOR 63 SALA 05"/>
    <s v="CENTRO"/>
    <s v="SAO PAULO"/>
    <s v="07910-210"/>
    <d v="2022-08-16T00:00:00"/>
    <m/>
    <n v="4"/>
    <m/>
    <s v="VERSÁTIL"/>
    <s v="BASE ÚNICA"/>
    <n v="482"/>
    <s v="LOJA FRANCISCO MORATO - SP"/>
    <x v="0"/>
  </r>
  <r>
    <n v="600079"/>
    <s v="LOJA FRANCO DA ROCHA - SP"/>
    <s v="CARLOS ALBERTO PIRANI JUNIOR"/>
    <x v="6"/>
    <s v="CINARA REGINA KEMERICH"/>
    <x v="2"/>
    <s v="RUA AZEVEDO SOARES, 184, SALA 4"/>
    <s v="CENTRO"/>
    <s v="FRANCO DA ROCHA"/>
    <s v="07851-010"/>
    <d v="2022-04-26T00:00:00"/>
    <d v="2022-04-26T00:00:00"/>
    <n v="4"/>
    <s v="NÃO"/>
    <s v="SONAVOIP"/>
    <s v="SONAVOIP"/>
    <n v="471"/>
    <s v="LOJA FRANCO DA ROCHA - SP"/>
    <x v="0"/>
  </r>
  <r>
    <n v="50734"/>
    <s v="LOJA GUARULHOS - SP"/>
    <s v="MIRIAM DE SALLES BARBIERI"/>
    <x v="7"/>
    <s v="CINARA REGINA KEMERICH"/>
    <x v="2"/>
    <s v="RUA OSWALDO CRUZ, 36"/>
    <s v="CENTRO"/>
    <s v="GUARULHOS"/>
    <s v="07010-020"/>
    <m/>
    <n v="0"/>
    <n v="5"/>
    <s v="NÃO"/>
    <s v="VERSÁTIL"/>
    <s v="TRONCO"/>
    <n v="681"/>
    <s v="LOJA GUARULHOS/SP"/>
    <x v="0"/>
  </r>
  <r>
    <n v="54512"/>
    <s v="LOJA JUNDIAI - SP"/>
    <s v="NICOLE CRISTINA MENDES"/>
    <x v="6"/>
    <s v="CINARA REGINA KEMERICH"/>
    <x v="2"/>
    <s v="RUA VIGARIO JOAO JOSE RODRIGUES 969"/>
    <s v="CENTRO"/>
    <s v="JUNDIAI"/>
    <s v="13201-001"/>
    <d v="2021-04-05T00:00:00"/>
    <d v="2021-04-05T00:00:00"/>
    <n v="5"/>
    <s v="SIM"/>
    <s v="VERSÁTIL"/>
    <s v="BASE ÚNICA"/>
    <n v="850"/>
    <s v="LOJA JUNDIAÍ - SP"/>
    <x v="0"/>
  </r>
  <r>
    <n v="50550"/>
    <s v="LOJA OSASCO - SP"/>
    <s v="ANDRESSA CRISTINA FERREIRA DA SILVA DE SOUZA"/>
    <x v="6"/>
    <s v="CINARA REGINA KEMERICH"/>
    <x v="2"/>
    <s v="R  PRIMITIVA VIANCO , 657"/>
    <s v="CENTRO"/>
    <s v="OSASCO"/>
    <s v="06016-008"/>
    <m/>
    <n v="0"/>
    <n v="6"/>
    <s v="NÃO"/>
    <s v="VERSÁTIL"/>
    <s v="BASE ÚNICA"/>
    <n v="675"/>
    <s v="LOJA OSASCO/SP"/>
    <x v="0"/>
  </r>
  <r>
    <n v="52012"/>
    <s v="LOJA SAO BENTO - SP"/>
    <s v="INDIAMARA CAMARGO DE PAULA"/>
    <x v="6"/>
    <s v="CINARA REGINA KEMERICH"/>
    <x v="2"/>
    <s v="RUA SÃO BENTO 315, LJ 17"/>
    <s v="CENTRO"/>
    <s v="SAO PAULO"/>
    <s v="01010-000"/>
    <m/>
    <n v="0"/>
    <n v="4"/>
    <s v="NÃO"/>
    <s v="VERSÁTIL"/>
    <s v="TRONCO"/>
    <n v="702"/>
    <s v="LOJA SAO BENTO/SP"/>
    <x v="0"/>
  </r>
  <r>
    <n v="6000033"/>
    <s v="LOJA SAO ROQUE - SP"/>
    <s v="CLEONICE VIANA DE JESUS"/>
    <x v="6"/>
    <s v="CINARA REGINA KEMERICH"/>
    <x v="2"/>
    <s v="RUA PADRE MARÇAL, 55"/>
    <s v="CENTRO"/>
    <s v="SAO ROQUE"/>
    <s v="18130-100"/>
    <d v="2022-05-10T00:00:00"/>
    <d v="2022-05-10T00:00:00"/>
    <n v="3"/>
    <s v="NÃO"/>
    <s v="SONAVOIP"/>
    <s v="SONAVOIP"/>
    <n v="474"/>
    <s v="LOJA SAO ROQUE - SP"/>
    <x v="0"/>
  </r>
  <r>
    <n v="600055"/>
    <s v="LOJA TERMINAL PIMENTAS - SP"/>
    <s v="KAIQUE FERNANDO GRANUCCI"/>
    <x v="7"/>
    <s v="CINARA REGINA KEMERICH"/>
    <x v="2"/>
    <s v="EST. PRESIDENTE JUSCELINO KUBITSCHEK DE OLIVEIRA"/>
    <s v="JARDIM ALBERTINA"/>
    <s v="GUARULHOS"/>
    <s v="07252-000"/>
    <d v="2022-01-18T00:00:00"/>
    <d v="2022-01-18T00:00:00"/>
    <n v="3"/>
    <s v="NÃO"/>
    <s v="VERSÁTIL"/>
    <s v="TRONCO"/>
    <n v="887"/>
    <s v="LOJA GUARULHOS PIMENTAS"/>
    <x v="0"/>
  </r>
  <r>
    <n v="1435"/>
    <s v="LOJA BUTIA - RS"/>
    <s v="PATRICIA IGNACIO ANTUNES"/>
    <x v="11"/>
    <s v="ADRIELE DA SILVA SOUZA"/>
    <x v="1"/>
    <s v="AV. LEANDRO DE ALMEIDA, 622"/>
    <s v="CENTRO"/>
    <s v="BUTIA"/>
    <s v="96750-000"/>
    <m/>
    <n v="0"/>
    <n v="3"/>
    <s v="NÃO"/>
    <s v="SONAVOIP"/>
    <s v="SONAVOIP"/>
    <n v="110"/>
    <s v="LOJA BUTIA/RS"/>
    <x v="0"/>
  </r>
  <r>
    <n v="1434"/>
    <s v="LOJA CACHOEIRINHA - RS"/>
    <s v="PATRICIA SOARES DE OLIVEIRA "/>
    <x v="11"/>
    <s v="ADRIELE DA SILVA SOUZA"/>
    <x v="1"/>
    <s v="R EURIPEDES AURELIO DA SILVA, 12 - LJ 04"/>
    <s v="CENTRO"/>
    <s v="CACHOEIRINHA"/>
    <s v="94920-250"/>
    <m/>
    <n v="0"/>
    <n v="5"/>
    <s v="NÃO"/>
    <s v="VERSÁTIL"/>
    <s v="BASE ÚNICA"/>
    <n v="609"/>
    <s v="LOJA CACHOEIRINHA/RS"/>
    <x v="0"/>
  </r>
  <r>
    <n v="19901"/>
    <s v="LOJA CHARQUEADAS - RS"/>
    <s v="FRANCINE ANSELMO RUDEK"/>
    <x v="11"/>
    <s v="ADRIELE DA SILVA SOUZA"/>
    <x v="1"/>
    <s v="AV. DR JOSE ATHANÁSIO, 129 SALA A"/>
    <s v="CENTRO"/>
    <s v="CHARQUEADAS"/>
    <s v="96745-000"/>
    <m/>
    <n v="0"/>
    <n v="3"/>
    <s v="NÃO"/>
    <s v="SONAVOIP"/>
    <s v="SONAVOIP"/>
    <n v="704"/>
    <s v="LOJA CHARQUEADAS/RS"/>
    <x v="0"/>
  </r>
  <r>
    <n v="1432"/>
    <s v="LOJA GRAVATAI - RS"/>
    <s v="KAMILA TARIGA DE MATTOS"/>
    <x v="11"/>
    <s v="ADRIELE DA SILVA SOUZA"/>
    <x v="1"/>
    <s v="RUA CORONEL FONSECA, 772"/>
    <s v="CENTRO"/>
    <s v="GRAVATAI"/>
    <s v="94010-190"/>
    <m/>
    <n v="0"/>
    <n v="5"/>
    <s v="NÃO"/>
    <s v="VERSÁTIL"/>
    <s v="BASE ÚNICA"/>
    <n v="86"/>
    <s v="LOJA GRAVATAI"/>
    <x v="0"/>
  </r>
  <r>
    <n v="1405"/>
    <s v="LOJA GUAIBA - RS"/>
    <s v="ALEXANDRE PRADO BARBOSA"/>
    <x v="3"/>
    <s v="ADRIELE DA SILVA SOUZA"/>
    <x v="1"/>
    <s v="RUA CONEGO SCHERER, 556"/>
    <s v="CENTRO"/>
    <s v="GUAIBA"/>
    <s v="92704-560"/>
    <m/>
    <n v="0"/>
    <n v="4"/>
    <s v="NÃO"/>
    <s v="VERSÁTIL"/>
    <s v="BASE ÚNICA"/>
    <n v="620"/>
    <s v="LOJA GUAIBA/RS"/>
    <x v="0"/>
  </r>
  <r>
    <n v="1409"/>
    <s v="LOJA PORTO ALEGRE - AZENHA - RS"/>
    <s v="BRUNA PIRES AZEREDO"/>
    <x v="11"/>
    <s v="ADRIELE DA SILVA SOUZA"/>
    <x v="1"/>
    <s v="AV. AZENHA, 581"/>
    <s v="AZENHA"/>
    <s v="PORTO ALEGRE"/>
    <s v="90160-001"/>
    <m/>
    <n v="0"/>
    <n v="7"/>
    <s v="NÃO"/>
    <s v="VERSÁTIL"/>
    <s v="TRONCO"/>
    <n v="409"/>
    <s v="LOJA AZENHA - RS"/>
    <x v="0"/>
  </r>
  <r>
    <n v="1400"/>
    <s v="LOJA PORTO ALEGRE - BORGES - RS"/>
    <s v="CINTIA POSSAMAI DA SILVA"/>
    <x v="11"/>
    <s v="ADRIELE DA SILVA SOUZA"/>
    <x v="1"/>
    <s v="AV. BORGES DE MEDEIROS, 410 "/>
    <s v="CENTRO"/>
    <s v="PORTO ALEGRE"/>
    <s v="90020-022"/>
    <m/>
    <n v="0"/>
    <n v="9"/>
    <s v="NÃO"/>
    <s v="VERSÁTIL"/>
    <s v="TRONCO"/>
    <n v="400"/>
    <s v="LOJA BORGES - RS"/>
    <x v="0"/>
  </r>
  <r>
    <n v="1401"/>
    <s v="LOJA PORTO ALEGRE - OSVALDO ARANHA I - RS"/>
    <s v="JESSICA FERREIRA ANTUNES"/>
    <x v="11"/>
    <s v="ADRIELE DA SILVA SOUZA"/>
    <x v="1"/>
    <s v="AV OSVALDO ARANHA, 1394 "/>
    <s v="BOM FIM"/>
    <s v="PORTO ALEGRE"/>
    <s v="90035-191"/>
    <m/>
    <n v="0"/>
    <n v="4"/>
    <s v="NÃO"/>
    <s v="VERSÁTIL"/>
    <s v="TRONCO"/>
    <m/>
    <m/>
    <x v="0"/>
  </r>
  <r>
    <n v="10226"/>
    <s v="LOJA SALGADO FILHO - RS"/>
    <s v="FERNANDA RODRIGUES SOARES"/>
    <x v="11"/>
    <s v="ADRIELE DA SILVA SOUZA"/>
    <x v="1"/>
    <s v="AV. SENADOR SALGADO FILHO 208"/>
    <s v="CENTRO"/>
    <s v="PORTO ALEGRE"/>
    <s v="90010-220"/>
    <m/>
    <n v="0"/>
    <n v="5"/>
    <s v="NÃO"/>
    <s v="VERSÁTIL"/>
    <s v="TRONCO"/>
    <n v="801"/>
    <s v="LOJA SALGADO FILHO/RS"/>
    <x v="0"/>
  </r>
  <r>
    <n v="1444"/>
    <s v="LOJA SAO JERONIMO - RS"/>
    <s v="CAROLINE VENTURINI"/>
    <x v="11"/>
    <s v="ADRIELE DA SILVA SOUZA"/>
    <x v="1"/>
    <s v="RUA OSVALDO ARANHA, 65"/>
    <s v="CENTRO"/>
    <s v="SAO JERONIMO"/>
    <s v="96700-000"/>
    <m/>
    <n v="0"/>
    <n v="4"/>
    <s v="NÃO"/>
    <s v="SONAVOIP"/>
    <s v="SONAVOIP"/>
    <n v="157"/>
    <s v="LOJA SAO JERONIMO/RS"/>
    <x v="0"/>
  </r>
  <r>
    <n v="1453"/>
    <s v="LOJA BENTO GONCALVES - RS"/>
    <s v="SARA LETICIA FREITAS RODRIGUES PIEDADE"/>
    <x v="4"/>
    <s v="ADRIELE DA SILVA SOUZA"/>
    <x v="1"/>
    <s v="RUA GENERAL GOMES CARNEIRO, 83 - LOJA 5"/>
    <s v="CENTRO"/>
    <s v="BENTO GONCALVES"/>
    <s v="95700-172"/>
    <m/>
    <n v="0"/>
    <n v="5"/>
    <s v="NÃO"/>
    <s v="VERSÁTIL"/>
    <s v="BASE ÚNICA"/>
    <n v="136"/>
    <s v="LOJA BENTO GONÇALVES - RS"/>
    <x v="0"/>
  </r>
  <r>
    <n v="1443"/>
    <s v="LOJA CAXIAS DO SUL - RS"/>
    <s v="BRUNA OLIVEIRA FERREIRA"/>
    <x v="4"/>
    <s v="ADRIELE DA SILVA SOUZA"/>
    <x v="1"/>
    <s v="RUA BENTO GONÇALVES, 1967 LJ 5 EDIFÍCIO C. PRESIDE"/>
    <s v="CENTRO"/>
    <s v="CAXIAS DO SUL"/>
    <s v="95020-412"/>
    <m/>
    <n v="0"/>
    <n v="7"/>
    <s v="NÃO"/>
    <s v="VERSÁTIL"/>
    <s v="BASE ÚNICA"/>
    <n v="404"/>
    <s v="LOJA CAXIAS DO SUL/RS"/>
    <x v="0"/>
  </r>
  <r>
    <n v="19701"/>
    <s v="LOJA LAJEADO - RS"/>
    <s v="PEDRO SEVERO DOS SANTOS"/>
    <x v="1"/>
    <s v="ADRIELE DA SILVA SOUZA"/>
    <x v="1"/>
    <s v="RUA FRANCISCO OSCAR KARNAL - Nº 333 LOJA 103"/>
    <s v="CENTRO"/>
    <s v="LAJEADO"/>
    <s v="95900-180"/>
    <m/>
    <n v="0"/>
    <n v="4"/>
    <s v="NÃO"/>
    <s v="VERSÁTIL"/>
    <s v="BASE ÚNICA"/>
    <n v="712"/>
    <s v="LOJA LAJEADO"/>
    <x v="0"/>
  </r>
  <r>
    <n v="1437"/>
    <s v="LOJA MONTENEGRO - RS"/>
    <s v="BETINA INES SCHAEFER"/>
    <x v="4"/>
    <s v="ADRIELE DA SILVA SOUZA"/>
    <x v="1"/>
    <s v="AV.RAMIRO BARCELOS Nº 1545 - SL 104"/>
    <s v="CENTRO"/>
    <s v="MONTENEGRO"/>
    <s v="95780-000"/>
    <m/>
    <n v="0"/>
    <n v="5"/>
    <s v="NÃO"/>
    <s v="VERSÁTIL"/>
    <s v="BASE ÚNICA"/>
    <n v="115"/>
    <s v="LOJA MONTENEGRO/RS"/>
    <x v="0"/>
  </r>
  <r>
    <n v="1439"/>
    <s v="LOJA PORTAO - RS"/>
    <s v="PAULO RICARDO PINTO JUNIOR"/>
    <x v="4"/>
    <s v="ADRIELE DA SILVA SOUZA"/>
    <x v="1"/>
    <s v="ROD RS 240 , 3526 - SL 05 (RODOCENTER) "/>
    <s v="CENTRO"/>
    <s v="PORTAO"/>
    <s v="93180-000"/>
    <m/>
    <n v="0"/>
    <n v="3"/>
    <s v="NÃO"/>
    <s v="SONAVOIP"/>
    <s v="SONAVOIP"/>
    <n v="112"/>
    <s v="LOJA PORTAO/RS"/>
    <x v="0"/>
  </r>
  <r>
    <n v="601055"/>
    <s v="LOJA PORTO ALEGRE - CRISTOVAO COLOMBO - RS"/>
    <s v="MAIHARA FONTOURA VIEIRA"/>
    <x v="11"/>
    <s v="ADRIELE DA SILVA SOUZA"/>
    <x v="1"/>
    <s v="AV. CRISTÓVÃO COLOMBO, 1320"/>
    <s v="FLORESTA "/>
    <s v="PORTO ALEGRE"/>
    <s v="90560-002"/>
    <d v="2021-11-24T00:00:00"/>
    <d v="2021-11-24T00:00:00"/>
    <n v="5"/>
    <s v="NÃO"/>
    <s v="VERSÁTIL"/>
    <s v="TRONCO"/>
    <n v="462"/>
    <s v="LOJA PORTO ALEGRE - CRISTOVAO COLOMBO"/>
    <x v="0"/>
  </r>
  <r>
    <n v="601050"/>
    <s v="LOJA PORTO ALEGRE ASSIS BRASIL III - RS"/>
    <s v="GRASIELA PEREIRA SANTIAGO DIAS"/>
    <x v="3"/>
    <s v="ADRIELE DA SILVA SOUZA"/>
    <x v="1"/>
    <s v="AV.ASSIS BRASIL, 308"/>
    <s v="SÃO JOAO"/>
    <s v="PORTO ALEGRE"/>
    <s v="91010-000"/>
    <d v="2021-12-01T00:00:00"/>
    <d v="2021-12-01T00:00:00"/>
    <n v="5"/>
    <s v="NÃO"/>
    <s v="VERSÁTIL"/>
    <s v="TRONCO"/>
    <n v="876"/>
    <s v="LOJA ASSIS BRASIL III - RS"/>
    <x v="0"/>
  </r>
  <r>
    <n v="601057"/>
    <s v="LOJA PROTASIO ALVES - RS"/>
    <s v="EDUARDA VENTURA BOGADO"/>
    <x v="11"/>
    <s v="ADRIELE DA SILVA SOUZA"/>
    <x v="1"/>
    <s v="AV. PROTASIO ALVES, 2492"/>
    <s v="PETROPOLIS"/>
    <s v="PORTO ALEGRE"/>
    <s v="90410-006"/>
    <d v="2022-02-25T00:00:00"/>
    <d v="2022-02-25T00:00:00"/>
    <n v="7"/>
    <s v="NÃO"/>
    <s v="SONAVOIP"/>
    <s v="SONAVOIP"/>
    <n v="472"/>
    <s v="LOJA PROTASIO ALVES - RS"/>
    <x v="0"/>
  </r>
  <r>
    <n v="19880"/>
    <s v="LOJA SANTA CRUZ DO SUL - RS"/>
    <s v="ARIADNE DE SENNA POLTOZI"/>
    <x v="1"/>
    <s v="ADRIELE DA SILVA SOUZA"/>
    <x v="1"/>
    <s v="Rua Tenente Coronel Brito,719"/>
    <s v="CENTRO"/>
    <s v="SANTA CRUZ DO SUL"/>
    <s v="96810-114"/>
    <m/>
    <n v="0"/>
    <n v="4"/>
    <s v="NÃO"/>
    <s v="VERSÁTIL"/>
    <s v="BASE ÚNICA"/>
    <n v="710"/>
    <s v="LOJA SANTA CRUZ DO SUL"/>
    <x v="0"/>
  </r>
  <r>
    <n v="19705"/>
    <s v="LOJA VENANCIO AIRES - RS"/>
    <s v="DANIELE CRISTINE ROSA"/>
    <x v="1"/>
    <s v="ADRIELE DA SILVA SOUZA"/>
    <x v="1"/>
    <s v="RUA OSVALDO ARANHA, 1268"/>
    <s v="CENTRO"/>
    <s v="VENANCIO AIRES"/>
    <s v="95800-000"/>
    <m/>
    <n v="0"/>
    <n v="3"/>
    <s v="NÃO"/>
    <s v="VERSÁTIL"/>
    <s v="BASE ÚNICA"/>
    <n v="713"/>
    <s v="LOJA VENANCIO AIRES"/>
    <x v="0"/>
  </r>
  <r>
    <n v="1414"/>
    <s v="LOJA VIAMAO - RS"/>
    <s v="VIVIAN AZAMBUJA CARNEIRO"/>
    <x v="11"/>
    <s v="ADRIELE DA SILVA SOUZA"/>
    <x v="1"/>
    <s v="RUA: CORONEL MARCOS DE ANDRADE, 437"/>
    <s v="CENTRO"/>
    <s v="VIAMAO"/>
    <s v="94410-050"/>
    <m/>
    <n v="0"/>
    <n v="5"/>
    <s v="NÃO"/>
    <s v="VERSÁTIL"/>
    <s v="BASE ÚNICA"/>
    <n v="13"/>
    <s v="LOJA VIAMAO - RS"/>
    <x v="0"/>
  </r>
  <r>
    <n v="31373"/>
    <s v="LOJA CAMPO MOURÃO - PR"/>
    <s v="MARIA LUIZA NUNES TOLOMEOTTI"/>
    <x v="12"/>
    <s v="CINARA REGINA KEMERICH"/>
    <x v="3"/>
    <s v="AV. IRMÃOS PEREIRA Nº 1631 SALA COMERCIAL"/>
    <s v="CENTRO"/>
    <s v="CAMPO MOURAO"/>
    <s v="87301-010"/>
    <d v="2021-03-22T00:00:00"/>
    <d v="2021-03-22T00:00:00"/>
    <n v="3"/>
    <s v="SIM"/>
    <s v="VERSÁTIL"/>
    <s v="BASE ÚNICA"/>
    <n v="838"/>
    <s v="LOJA CAMPO MOURAO - PR"/>
    <x v="0"/>
  </r>
  <r>
    <n v="31276"/>
    <s v="LOJA CASCAVEL - PR"/>
    <s v="LUIS ROGERIO DE OLIVEIRA"/>
    <x v="12"/>
    <s v="CINARA REGINA KEMERICH"/>
    <x v="3"/>
    <s v="AVENIDA BRASIL 6282, SL 312"/>
    <s v="CENTRO"/>
    <s v="CASCAVEL"/>
    <s v="85812-002"/>
    <m/>
    <n v="0"/>
    <n v="5"/>
    <s v="SIM"/>
    <s v="VERSÁTIL"/>
    <s v="BASE ÚNICA"/>
    <n v="742"/>
    <s v="LOJA CASCAVEL/PR"/>
    <x v="0"/>
  </r>
  <r>
    <n v="31226"/>
    <s v="LOJA FOZ DO IGUAÇU - PR"/>
    <s v="PAULO ROBERTO FLORES DE SOUZA"/>
    <x v="12"/>
    <s v="CINARA REGINA KEMERICH"/>
    <x v="3"/>
    <s v="RUA BARÃO DO RIO BRANCO, 648"/>
    <s v="CENTRO"/>
    <s v="FOZ DO IGUACU"/>
    <s v="85851-310"/>
    <m/>
    <n v="0"/>
    <n v="5"/>
    <s v="SIM"/>
    <s v="VERSÁTIL"/>
    <s v="BASE ÚNICA"/>
    <n v="743"/>
    <s v="LOJA FOZ DO IGUAÇU/PR"/>
    <x v="0"/>
  </r>
  <r>
    <n v="3817"/>
    <s v="LOJA LONDRINA - PR"/>
    <s v="PAMELA DA CONCEICAO DA SILVA"/>
    <x v="12"/>
    <s v="CINARA REGINA KEMERICH"/>
    <x v="3"/>
    <s v="AV PARANÁ 117 A  "/>
    <s v="CENTRO "/>
    <s v="LONDRINA"/>
    <s v="86020-360"/>
    <m/>
    <n v="0"/>
    <n v="5"/>
    <s v="SIM"/>
    <s v="VERSÁTIL"/>
    <s v="BASE ÚNICA"/>
    <n v="208"/>
    <s v="LOJA LONDRINA/PR"/>
    <x v="0"/>
  </r>
  <r>
    <n v="3800"/>
    <s v="LOJA MARINGA 1 - PR"/>
    <s v="GISLAINE ELIAS DOS SANTOS"/>
    <x v="12"/>
    <s v="CINARA REGINA KEMERICH"/>
    <x v="3"/>
    <s v="RUA SANTOS DUMONT  Nº 2905  LOJA 1 "/>
    <s v="ZONA 1"/>
    <s v="MARINGA"/>
    <s v="87013-050"/>
    <m/>
    <n v="0"/>
    <n v="4"/>
    <s v="SIM"/>
    <s v="VERSÁTIL"/>
    <s v="TRONCO"/>
    <n v="96"/>
    <s v="LOJA MARINGA I/PR"/>
    <x v="0"/>
  </r>
  <r>
    <n v="3827"/>
    <s v="LOJA MARINGA 2 - PR"/>
    <s v="EDEILSO COSTA MELO"/>
    <x v="12"/>
    <s v="CINARA REGINA KEMERICH"/>
    <x v="3"/>
    <s v="AVENIDA TAMANDARÉ 655 LOJA 58"/>
    <s v="ZONA 1"/>
    <s v="MARINGA"/>
    <s v="87013-210"/>
    <m/>
    <n v="0"/>
    <n v="4"/>
    <s v="SIM"/>
    <s v="VERSÁTIL"/>
    <s v="TRONCO"/>
    <n v="431"/>
    <s v="LOJA MARINGA II/PR"/>
    <x v="0"/>
  </r>
  <r>
    <n v="31353"/>
    <s v="LOJA TOLEDO - PR"/>
    <s v="Sem supervisor"/>
    <x v="12"/>
    <s v="CINARA REGINA KEMERICH"/>
    <x v="3"/>
    <s v="sete de setembro  n 1218"/>
    <s v="CENTRO"/>
    <s v="TOLEDO"/>
    <s v="85900-220"/>
    <d v="2020-09-21T00:00:00"/>
    <d v="2020-09-21T00:00:00"/>
    <n v="5"/>
    <s v="SIM"/>
    <s v="VERSÁTIL"/>
    <s v="BASE ÚNICA"/>
    <n v="752"/>
    <s v="LOJA TOLEDO/PR"/>
    <x v="0"/>
  </r>
  <r>
    <n v="200020"/>
    <s v="LOJA UMUARAMA - PR"/>
    <s v="FRANCIELY VANESSA DE SOUZA GARCIA"/>
    <x v="12"/>
    <s v="CINARA REGINA KEMERICH"/>
    <x v="3"/>
    <s v="AVENIDA BRASIL, 4140 SALA 4"/>
    <s v="ZONA I"/>
    <s v="UMUARAMA"/>
    <s v="87501-070"/>
    <d v="2021-11-23T00:00:00"/>
    <d v="2021-11-23T00:00:00"/>
    <n v="4"/>
    <s v="SIM"/>
    <s v="VERSÁTIL"/>
    <s v="BASE ÚNICA"/>
    <n v="870"/>
    <s v="LOJA UMUARAMA"/>
    <x v="0"/>
  </r>
  <r>
    <n v="1436"/>
    <s v="LOJA CAMAQUA - RS"/>
    <s v="ANDREY COSTA DA ROCHA"/>
    <x v="13"/>
    <s v="ADRIELE DA SILVA SOUZA"/>
    <x v="1"/>
    <s v="AVENIDA OLAVO MORAES, 798 - LOJA A"/>
    <s v="CENTRO"/>
    <s v="CAMAQUA"/>
    <s v="96780-070"/>
    <m/>
    <n v="0"/>
    <n v="3"/>
    <s v="NÃO"/>
    <s v="VERSÁTIL"/>
    <s v="BASE ÚNICA"/>
    <n v="111"/>
    <s v="LOJA CAMAQUA - RS"/>
    <x v="0"/>
  </r>
  <r>
    <n v="19707"/>
    <s v="LOJA CANGUÇU - RS"/>
    <s v="CLAUDIA BEATRIZ LACERDA SCHIAVON"/>
    <x v="13"/>
    <s v="ADRIELE DA SILVA SOUZA"/>
    <x v="1"/>
    <s v="AV. 20 DE SETEMBRO 11C"/>
    <s v="CENTRO (TRIANGULO)"/>
    <s v="CANGUCU"/>
    <s v="96600-000"/>
    <m/>
    <n v="0"/>
    <n v="3"/>
    <s v="NÃO"/>
    <s v="VERSÁTIL"/>
    <s v="BASE ÚNICA"/>
    <n v="714"/>
    <s v="LOJA CANGUÇU"/>
    <x v="0"/>
  </r>
  <r>
    <n v="1478"/>
    <s v="LOJA PELOTAS - RS"/>
    <s v="NAYANE BORGES"/>
    <x v="13"/>
    <s v="ADRIELE DA SILVA SOUZA"/>
    <x v="1"/>
    <s v="RUA SETE DE SETEMBRO, 240 "/>
    <s v="CENTRO"/>
    <s v="PELOTAS"/>
    <s v="96015-300"/>
    <m/>
    <n v="0"/>
    <n v="5"/>
    <s v="NÃO"/>
    <s v="VERSÁTIL"/>
    <s v="BASE ÚNICA"/>
    <n v="39"/>
    <s v="LOJA PELOTAS/RS"/>
    <x v="0"/>
  </r>
  <r>
    <n v="10200"/>
    <s v="LOJA RIO GRANDE - RS"/>
    <s v="Sem supervisor"/>
    <x v="13"/>
    <s v="ADRIELE DA SILVA SOUZA"/>
    <x v="1"/>
    <s v="MARECHAL FLORIANO 290"/>
    <s v="CENTRO"/>
    <s v="RIO GRANDE"/>
    <s v="96200-380"/>
    <m/>
    <n v="0"/>
    <n v="3"/>
    <s v="NÃO"/>
    <s v="VERSÁTIL"/>
    <s v="BASE ÚNICA"/>
    <n v="419"/>
    <s v="LOJA RIO GRANDE"/>
    <x v="0"/>
  </r>
  <r>
    <n v="1490"/>
    <s v="LOJA SAO LOURENÇO - RS"/>
    <s v="Sem supervisor"/>
    <x v="13"/>
    <s v="ADRIELE DA SILVA SOUZA"/>
    <x v="1"/>
    <s v="Rua Pinheiro Machado nº 406"/>
    <s v="MEDIANEIRA"/>
    <s v="SAO LOURENCO DO SUL"/>
    <s v="96170-000"/>
    <m/>
    <n v="0"/>
    <n v="3"/>
    <s v="NÃO"/>
    <s v="VERSÁTIL"/>
    <s v="BASE ÚNICA"/>
    <n v="205"/>
    <s v="LOJA SAO LOURENCO"/>
    <x v="0"/>
  </r>
  <r>
    <n v="1422"/>
    <s v="LOJA TAPES - RS"/>
    <s v="FRANCIELI FORTE SUBTIL DA SILVA"/>
    <x v="13"/>
    <s v="ADRIELE DA SILVA SOUZA"/>
    <x v="1"/>
    <s v="AV. ASSIS BRASIL, 371 LOJA 2"/>
    <s v="CENTRO"/>
    <s v="TAPES"/>
    <s v="96760-000"/>
    <m/>
    <n v="0"/>
    <n v="3"/>
    <s v="NÃO"/>
    <s v="SONAVOIP"/>
    <s v="SONAVOIP"/>
    <n v="54"/>
    <s v="LOJA TAPES/RS"/>
    <x v="0"/>
  </r>
  <r>
    <n v="9366"/>
    <s v="LOJA CONJ CEARA - FORTALEZA - CE"/>
    <s v="PAULO LINDEMBERG GOMES DO AMARAL"/>
    <x v="14"/>
    <s v="CRISTIANE CARVALHO GEBELATTO"/>
    <x v="4"/>
    <s v="AV. A, Nº 1115, LOJA A"/>
    <s v="CONJUNTO CEARÁ"/>
    <s v="FORTALEZA"/>
    <s v="60533-310"/>
    <d v="2021-01-18T00:00:00"/>
    <d v="2021-01-18T00:00:00"/>
    <n v="3"/>
    <s v="NÃO"/>
    <s v="VERSÁTIL"/>
    <s v="TRONCO"/>
    <n v="827"/>
    <s v="LOJA CONJUNTO CEARA - FORTALEZA - CE"/>
    <x v="0"/>
  </r>
  <r>
    <n v="90900"/>
    <s v="LOJA FORTALEZA - CE"/>
    <s v="IRANILDA ARAUJO DE FREITAS"/>
    <x v="14"/>
    <s v="CRISTIANE CARVALHO GEBELATTO"/>
    <x v="4"/>
    <s v="RUA FLORIANO PEIXOTO,797"/>
    <s v="CENTRO"/>
    <s v="FORTALEZA"/>
    <s v="60025-130"/>
    <m/>
    <n v="0"/>
    <n v="6"/>
    <s v="NÃO"/>
    <s v="VERSÁTIL"/>
    <s v="TRONCO"/>
    <n v="186"/>
    <s v="LOJA FORTALEZA/CE"/>
    <x v="0"/>
  </r>
  <r>
    <n v="9370"/>
    <s v="LOJA MESSEJANA - CE"/>
    <s v="RUTH EMANUELA ALVES JORGE"/>
    <x v="14"/>
    <s v="CRISTIANE CARVALHO GEBELATTO"/>
    <x v="4"/>
    <s v="CEL FRANCISCO PEREIRA,400, LOJA G"/>
    <s v="MESSEJANA"/>
    <s v="FORTALEZA"/>
    <s v="60840-290"/>
    <d v="2021-03-15T00:00:00"/>
    <d v="2021-03-15T00:00:00"/>
    <n v="3"/>
    <s v="NÃO"/>
    <s v="VERSÁTIL"/>
    <s v="TRONCO"/>
    <n v="839"/>
    <s v="LOJA MESSEJANA - CE"/>
    <x v="0"/>
  </r>
  <r>
    <n v="9368"/>
    <s v="LOJA PARANGABA - CE"/>
    <s v="Sem supervisor"/>
    <x v="14"/>
    <s v="CRISTIANE CARVALHO GEBELATTO"/>
    <x v="4"/>
    <s v="CAIO PRADO 61, LOJA 6"/>
    <s v="PARANGABA"/>
    <s v="FORTALEZA"/>
    <s v="60720-040"/>
    <d v="2021-02-03T00:00:00"/>
    <d v="2021-02-03T00:00:00"/>
    <n v="4"/>
    <s v="NÃO"/>
    <s v="VERSÁTIL"/>
    <s v="TRONCO"/>
    <n v="833"/>
    <s v="LOJA PARANGABA - FORTALEZA - CE"/>
    <x v="0"/>
  </r>
  <r>
    <n v="7747"/>
    <s v="LOJA CABULA - SALVADOR"/>
    <s v="RODRIGO GONZAGA CONCEICAO"/>
    <x v="15"/>
    <s v="CRISTIANE CARVALHO GEBELATTO"/>
    <x v="5"/>
    <s v="SÃO GONÇALO, Nº 17 - LOJA 1"/>
    <s v="CABULA"/>
    <s v="SALVADOR"/>
    <s v="41185-055"/>
    <m/>
    <n v="0"/>
    <n v="3"/>
    <s v="NÃO"/>
    <s v="VERSÁTIL"/>
    <s v="TRONCO"/>
    <n v="825"/>
    <s v="LOJA CABULA - SALVADOR - BA"/>
    <x v="0"/>
  </r>
  <r>
    <n v="7800"/>
    <s v="LOJA CAJAZEIRAS -  BA"/>
    <s v="ROSECLEIDE ALVES BARBOSA"/>
    <x v="15"/>
    <s v="CRISTIANE CARVALHO GEBELATTO"/>
    <x v="5"/>
    <s v="ESTRADA DO COQUEIRO GRANDE, 21A"/>
    <s v="FAZENDA GRANDE II"/>
    <s v="SALVADOR"/>
    <s v="41340-050"/>
    <m/>
    <n v="0"/>
    <n v="4"/>
    <s v="NÃO"/>
    <s v="VERSÁTIL"/>
    <s v="TRONCO"/>
    <n v="722"/>
    <s v="LOJA CAJAZEIRAS - BA"/>
    <x v="0"/>
  </r>
  <r>
    <n v="7748"/>
    <s v="LOJA ITAPUÃ - SALVADOR"/>
    <s v="LIDIANE RUTE VELOSO DOS SANTOS"/>
    <x v="15"/>
    <s v="CRISTIANE CARVALHO GEBELATTO"/>
    <x v="5"/>
    <s v="FERNANDO TORRES, Nº 3 LOJA 3"/>
    <s v="ITAPUÃ"/>
    <s v="SALVADOR"/>
    <s v="41635-470"/>
    <m/>
    <n v="0"/>
    <n v="5"/>
    <s v="NÃO"/>
    <s v="VERSÁTIL"/>
    <s v="TRONCO"/>
    <n v="828"/>
    <s v="LOJA ITAPUA - SALVADOR - BA"/>
    <x v="0"/>
  </r>
  <r>
    <n v="94438"/>
    <s v="LOJA LAURO DE FREITAS - BA"/>
    <s v="MAINARA ALVES DOS SANTOS"/>
    <x v="15"/>
    <s v="CRISTIANE CARVALHO GEBELATTO"/>
    <x v="6"/>
    <s v="PRAÇA MARTINIANO MAIA 181 A"/>
    <s v="CENTRO"/>
    <s v="LAURO DE FREITAS"/>
    <m/>
    <m/>
    <m/>
    <n v="3"/>
    <m/>
    <s v="VERSÁTIL"/>
    <s v="TRONCO"/>
    <n v="511"/>
    <s v="LOJA LAURO DE FREITAS/BA"/>
    <x v="0"/>
  </r>
  <r>
    <n v="7900"/>
    <s v="LOJA SALVADOR - BA"/>
    <s v="JESSICA ANDRADE DOS SANTOS"/>
    <x v="15"/>
    <s v="CRISTIANE CARVALHO GEBELATTO"/>
    <x v="5"/>
    <s v="RUA DA BÉLGICA, 148 LOJA C "/>
    <s v="COMERCIO"/>
    <s v="SALVADOR"/>
    <s v="40010-030"/>
    <m/>
    <n v="0"/>
    <n v="7"/>
    <s v="NÃO"/>
    <s v="VERSÁTIL"/>
    <s v="TRONCO"/>
    <n v="126"/>
    <s v="LOJA SALVADOR/BA"/>
    <x v="0"/>
  </r>
  <r>
    <n v="71002"/>
    <s v="LOJA SALVADOR - COMERCIO"/>
    <s v="JOSE WELLINGTON DE SOUSA COSTA"/>
    <x v="15"/>
    <s v="CRISTIANE CARVALHO GEBELATTO"/>
    <x v="5"/>
    <s v="RUA DA BÉLGICA, 148 LOJA C "/>
    <s v="COMÉRCIO"/>
    <s v="SALVADOR"/>
    <s v="40010-030"/>
    <m/>
    <n v="0"/>
    <n v="7"/>
    <s v="NÃO"/>
    <s v="VERSÁTIL"/>
    <s v="TRONCO"/>
    <n v="845"/>
    <s v="LOJA SALVADOR/COMERCIO"/>
    <x v="0"/>
  </r>
  <r>
    <n v="7815"/>
    <s v="LOJA SAO MARCOS - BA"/>
    <s v="ADRIANE SANTOS RIBEIRO"/>
    <x v="15"/>
    <s v="CRISTIANE CARVALHO GEBELATTO"/>
    <x v="5"/>
    <s v="RUA SÃO MARCOS, 56"/>
    <s v="SÃO MARCOS"/>
    <s v="SALVADOR"/>
    <s v="41253-190"/>
    <m/>
    <n v="0"/>
    <n v="4"/>
    <s v="NÃO"/>
    <s v="VERSÁTIL"/>
    <s v="TRONCO"/>
    <n v="770"/>
    <s v="LOJA SAO MARCOS/BA"/>
    <x v="0"/>
  </r>
  <r>
    <n v="93826"/>
    <s v="LOJA ARACAJU - SE"/>
    <s v="VALQUIRIA SANTOS DA CRUZ"/>
    <x v="15"/>
    <s v="CRISTIANE CARVALHO GEBELATTO"/>
    <x v="7"/>
    <s v="RUA SÃO CRISTÓVÃO, 402"/>
    <s v="CENTRO"/>
    <s v="ARACAJU "/>
    <s v="49010-380"/>
    <d v="2022-11-18T00:00:00"/>
    <m/>
    <n v="5"/>
    <m/>
    <s v="VERSÁTIL"/>
    <m/>
    <n v="504"/>
    <s v="LOJA ARACAJU/SE"/>
    <x v="0"/>
  </r>
  <r>
    <n v="23001"/>
    <s v="LOJA MACEIO - AL"/>
    <s v="THAISA MARY COSTA DE OLIVEIRA"/>
    <x v="15"/>
    <s v="CRISTIANE CARVALHO GEBELATTO"/>
    <x v="8"/>
    <s v="RUA BARÃO DE PENEDO , Nº 197"/>
    <s v="CENTRO"/>
    <s v="MACEIO"/>
    <s v="57020-340"/>
    <m/>
    <n v="0"/>
    <n v="4"/>
    <s v="SIM"/>
    <s v="VERSÁTIL"/>
    <s v="BASE ÚNICA"/>
    <n v="285"/>
    <s v="LOJA MACEIO"/>
    <x v="0"/>
  </r>
  <r>
    <n v="81006"/>
    <s v="LOJA AFOGADOS - RECIFE"/>
    <s v="MARILIA TERCIA DA SILVA BRITO"/>
    <x v="16"/>
    <s v="CRISTIANE CARVALHO GEBELATTO"/>
    <x v="9"/>
    <s v="DA PAZ, Nº 194"/>
    <s v="AFOGADOS"/>
    <s v="RECIFE"/>
    <s v="50770-000"/>
    <d v="2021-03-30T00:00:00"/>
    <d v="2021-03-30T00:00:00"/>
    <n v="3"/>
    <s v="SIM"/>
    <s v="VERSÁTIL"/>
    <s v="TRONCO"/>
    <n v="822"/>
    <s v="LOJA AFOGADOS - RECIFE - PE"/>
    <x v="0"/>
  </r>
  <r>
    <n v="18936"/>
    <s v="LOJA BAYEUX - PB"/>
    <s v="HERCULANO ALVES DOS SANTOS"/>
    <x v="16"/>
    <s v="CRISTIANE CARVALHO GEBELATTO"/>
    <x v="10"/>
    <s v="AVENIDA LIBERDADE 3379"/>
    <s v="CENTRO"/>
    <s v="BAYEUX"/>
    <s v="58110-160"/>
    <d v="2021-06-14T00:00:00"/>
    <d v="2021-06-14T00:00:00"/>
    <n v="3"/>
    <s v="SIM"/>
    <s v="VERSÁTIL"/>
    <s v="BASE ÚNICA"/>
    <n v="824"/>
    <s v="LOJA BAYEUX - PB"/>
    <x v="0"/>
  </r>
  <r>
    <n v="18105"/>
    <s v="LOJA CAMPINA GRANDE - PB"/>
    <s v="DANIELA MEDEIROS MONTEIRO DE OLIVEIRA"/>
    <x v="16"/>
    <s v="CRISTIANE CARVALHO GEBELATTO"/>
    <x v="10"/>
    <s v="RUA EPITACIO PESSOA 166"/>
    <s v="CENTRO"/>
    <s v="CAMPINA GRANDE"/>
    <s v="58400-025"/>
    <m/>
    <n v="0"/>
    <n v="4"/>
    <s v="SIM"/>
    <s v="VERSÁTIL"/>
    <s v="BASE ÚNICA"/>
    <n v="719"/>
    <s v="LOJA CAMPINA GRANDE"/>
    <x v="0"/>
  </r>
  <r>
    <n v="80969"/>
    <s v="LOJA CARUARU - PE"/>
    <s v="DANILMA MATIAS DA SILVA"/>
    <x v="16"/>
    <s v="CRISTIANE CARVALHO GEBELATTO"/>
    <x v="9"/>
    <s v="RUA CORONEL LIMEIRA, Nº 049-C"/>
    <s v="NOSSA SENHORA DAS DORES"/>
    <s v="CARUARU"/>
    <s v="55002-350"/>
    <m/>
    <n v="0"/>
    <n v="4"/>
    <s v="SIM"/>
    <s v="VERSÁTIL"/>
    <s v="BASE ÚNICA"/>
    <n v="739"/>
    <s v="LOJA CARUARU/PE"/>
    <x v="0"/>
  </r>
  <r>
    <n v="81075"/>
    <s v="LOJA CRUZ DAS ARMAS - PB"/>
    <s v="DAYANNE COSTA CHAVES"/>
    <x v="16"/>
    <s v="CRISTIANE CARVALHO GEBELATTO"/>
    <x v="10"/>
    <s v="AV. CRUZ DAS ARMAS, 771, SALA B"/>
    <s v="CRUZ DAS ARMAS"/>
    <s v="JOAO PESSOA"/>
    <s v="58085-000"/>
    <d v="2022-05-23T00:00:00"/>
    <d v="2022-05-23T00:00:00"/>
    <n v="4"/>
    <s v="SIM"/>
    <s v="SONAVOIP"/>
    <s v="SONAVOIP"/>
    <n v="267"/>
    <s v="LOJA JOAO PESSOA/PB"/>
    <x v="0"/>
  </r>
  <r>
    <n v="18900"/>
    <s v="LOJA JOAO PESSOA - PB"/>
    <s v="RUANA VIRGINIA DA SILVA SANTOS"/>
    <x v="16"/>
    <s v="CRISTIANE CARVALHO GEBELATTO"/>
    <x v="10"/>
    <s v="RUA TREZE DE MAIO, 391"/>
    <s v="CENTRO"/>
    <s v="JOAO PESSOA"/>
    <s v="58013-070"/>
    <m/>
    <n v="0"/>
    <n v="6"/>
    <s v="SIM"/>
    <s v="VERSÁTIL"/>
    <s v="TRONCO"/>
    <n v="267"/>
    <s v="LOJA JOAO PESSOA/PB"/>
    <x v="0"/>
  </r>
  <r>
    <n v="18937"/>
    <s v="LOJA MANGABEIRA - PB"/>
    <s v="VANDERLANDIA FERREIRA ALVES VENANCIO"/>
    <x v="16"/>
    <s v="CRISTIANE CARVALHO GEBELATTO"/>
    <x v="10"/>
    <s v="RUA JOSEFA TAVEIRA 1547"/>
    <s v="MAGABEIRA"/>
    <s v="JOAO PESSOA"/>
    <s v="58055-000"/>
    <d v="2021-08-11T00:00:00"/>
    <d v="2021-08-11T00:00:00"/>
    <n v="4"/>
    <s v="SIM"/>
    <s v="VERSÁTIL"/>
    <s v="TRONCO"/>
    <n v="864"/>
    <s v="LOJA MANGABEIRA / PB"/>
    <x v="0"/>
  </r>
  <r>
    <n v="14900"/>
    <s v="LOJA NATAL - RN"/>
    <s v="THAISE SILVEIRA DOS SANTOS APOLINARIO"/>
    <x v="16"/>
    <s v="CRISTIANE CARVALHO GEBELATTO"/>
    <x v="11"/>
    <s v="AVENIDA DEODORO DA FONSECA 626"/>
    <s v="CENTRO"/>
    <s v="NATAL"/>
    <s v="59025-145"/>
    <m/>
    <n v="0"/>
    <n v="5"/>
    <s v="SIM"/>
    <s v="VERSÁTIL"/>
    <s v="TRONCO"/>
    <n v="281"/>
    <s v="LOJA NATAL I - RN"/>
    <x v="0"/>
  </r>
  <r>
    <n v="14932"/>
    <s v="LOJA NATAL - CIDADE ALTA - RN"/>
    <s v="WHANDERSON MATHEUS ARAUJO DA COSTA"/>
    <x v="16"/>
    <s v="CRISTIANE CARVALHO GEBELATTO"/>
    <x v="11"/>
    <s v="RUA JOÃO PESSOA, Nº 219"/>
    <s v="CIDADE ALTA"/>
    <s v="NATAL"/>
    <s v="59025-500"/>
    <m/>
    <n v="0"/>
    <n v="4"/>
    <s v="SIM"/>
    <s v="VERSÁTIL"/>
    <s v="TRONCO"/>
    <n v="737"/>
    <s v="LOJA NATAL II - RN"/>
    <x v="0"/>
  </r>
  <r>
    <n v="8399"/>
    <s v="LOJA RECIFE - PE"/>
    <s v="MARCELA FERREIRA DOS PASSOS"/>
    <x v="16"/>
    <s v="CRISTIANE CARVALHO GEBELATTO"/>
    <x v="9"/>
    <s v="RUA DUQUE DE CAXIAS 201"/>
    <s v="SANTO ANTONIO"/>
    <s v="RECIFE"/>
    <s v="50010-290"/>
    <m/>
    <n v="0"/>
    <n v="8"/>
    <s v="SIM"/>
    <s v="VERSÁTIL"/>
    <s v="TRONCO"/>
    <n v="75"/>
    <s v="LOJA RECIFE/PE"/>
    <x v="0"/>
  </r>
  <r>
    <n v="1498"/>
    <s v="CALL CENTER - DEBITO DIGITAL 1498"/>
    <s v="WILLIAM BONIATTI MENEGAT"/>
    <x v="17"/>
    <s v="FERNANDA APARECIDA TOMAZINI"/>
    <x v="1"/>
    <s v="VIGARIO JOSE INACIO 258/260"/>
    <s v="CENTRO"/>
    <s v="PORTO ALEGRE"/>
    <s v="90020-100"/>
    <m/>
    <s v="-"/>
    <s v="-"/>
    <s v="NÃO"/>
    <s v="VERSÁTIL"/>
    <s v="BASE ÚNICA"/>
    <n v="211"/>
    <s v="CALL CENTER - DEBITO"/>
    <x v="0"/>
  </r>
  <r>
    <n v="1493"/>
    <s v="CALL CENTER - FGTS 1493"/>
    <s v="FLAVIA GRAZIELA MENDES BORGES"/>
    <x v="17"/>
    <s v="FERNANDA APARECIDA TOMAZINI"/>
    <x v="1"/>
    <s v="AV. BORGES DE MEDEIROS 410/8 ANDAR"/>
    <s v="CENTRO"/>
    <s v="PORTO ALEGRE"/>
    <s v="90020-022"/>
    <m/>
    <s v="-"/>
    <s v="-"/>
    <s v="NÃO"/>
    <s v="VERSÁTIL"/>
    <s v="BASE ÚNICA"/>
    <n v="866"/>
    <s v="CALL CENTER - FGTS"/>
    <x v="0"/>
  </r>
  <r>
    <n v="1491"/>
    <s v="CALL CENTER PRODUTOS E SERVIÇOS II 1491"/>
    <s v="TERESINHA DE JESUS FREITAS SOARES"/>
    <x v="17"/>
    <s v="FERNANDA APARECIDA TOMAZINI"/>
    <x v="1"/>
    <s v="AVENIDA SENADOR SALGADO FILHO 230"/>
    <s v="CENTRO "/>
    <s v="PORTO ALEGRE"/>
    <s v="90010-220"/>
    <m/>
    <s v="-"/>
    <s v="-"/>
    <s v="NÃO"/>
    <s v="VERSÁTIL"/>
    <s v="BASE ÚNICA"/>
    <n v="129"/>
    <s v="CALL CENTER INSS - RS"/>
    <x v="0"/>
  </r>
  <r>
    <n v="1492"/>
    <s v="CALL CENTER PRODUTOS E SERVIÇOS III 1492"/>
    <s v="TASSIANA GARCIA MOURA"/>
    <x v="17"/>
    <s v="FERNANDA APARECIDA TOMAZINI"/>
    <x v="1"/>
    <s v="VIGARIO JOSE INACIO 258/260"/>
    <s v="CENTRO"/>
    <s v="PORTO ALEGRE"/>
    <s v="90020-100"/>
    <m/>
    <s v="-"/>
    <s v="-"/>
    <s v="NÃO"/>
    <s v="VERSÁTIL"/>
    <s v="BASE ÚNICA"/>
    <n v="785"/>
    <s v="CALL CENTER PRODUTOS E SERVIÇOS III"/>
    <x v="0"/>
  </r>
  <r>
    <n v="149400"/>
    <s v="CALL CENTER PRODUTOS E SERVIÇOS IV 149400"/>
    <s v="VANESSA DOS SANTOS PINTO"/>
    <x v="17"/>
    <s v="FERNANDA APARECIDA TOMAZINI"/>
    <x v="1"/>
    <s v="VIGARIO JOSE INACIO 258/260"/>
    <s v="CENTRO "/>
    <s v="PORTO ALEGRE"/>
    <s v="90020-100"/>
    <m/>
    <s v="-"/>
    <s v="-"/>
    <s v="NÃO"/>
    <s v="VERSÁTIL"/>
    <s v="BASE ÚNICA"/>
    <n v="793"/>
    <s v="COORDENADOR CALL CENTER PRODUTOS E SERVIÇOS"/>
    <x v="0"/>
  </r>
  <r>
    <n v="149800"/>
    <s v="CALL CENTER PRODUTOS E SERVIÇOS IX 149800"/>
    <s v="RAPHAEL CASCAES MARTHA"/>
    <x v="17"/>
    <s v="FERNANDA APARECIDA TOMAZINI"/>
    <x v="1"/>
    <s v="AV. BORGES DE MEDEIROS, 410,"/>
    <s v="CENTRO"/>
    <s v="PORTO ALEGRE"/>
    <s v="90020-022"/>
    <m/>
    <s v="-"/>
    <s v="-"/>
    <s v="NÃO"/>
    <s v="VERSÁTIL"/>
    <s v="BASE ÚNICA"/>
    <n v="874"/>
    <s v="CALL CENTER PRODUTOS E SERVIÇOS IX"/>
    <x v="0"/>
  </r>
  <r>
    <n v="149500"/>
    <s v="CALL CENTER PRODUTOS E SERVIÇOS V 149500"/>
    <s v="Sem supervisor"/>
    <x v="17"/>
    <s v="FERNANDA APARECIDA TOMAZINI"/>
    <x v="1"/>
    <s v="RUA VIGARIO JOSE INACIO, 258 / 260"/>
    <s v="CENTRO"/>
    <s v="PORTO ALEGRE"/>
    <m/>
    <m/>
    <s v="-"/>
    <s v="-"/>
    <s v="NÃO"/>
    <s v="VERSÁTIL"/>
    <s v="BASE ÚNICA"/>
    <n v="806"/>
    <s v="CALL CENTER PRODUTOS E SERVIÇOS V"/>
    <x v="0"/>
  </r>
  <r>
    <n v="149700"/>
    <s v="CALL CENTER PRODUTOS E SERVIÇOS VI 149700"/>
    <s v="Sem supervisor"/>
    <x v="17"/>
    <s v="FERNANDA APARECIDA TOMAZINI"/>
    <x v="1"/>
    <s v="AV. BORGES DE MEDEIROS, 410, 12º ANDAR"/>
    <s v="CENTRO"/>
    <s v="PORTO ALEGRE"/>
    <s v="90020-022"/>
    <m/>
    <s v="-"/>
    <s v="-"/>
    <s v="NÃO"/>
    <s v="VERSÁTIL"/>
    <s v="BASE ÚNICA"/>
    <n v="872"/>
    <s v="CALL CENTER PRODUTOS E SERVIÇOS VI"/>
    <x v="0"/>
  </r>
  <r>
    <n v="1495"/>
    <s v="CALL CENTER PRODUTOS E SERVIÇOS VII 1495"/>
    <s v="Sem supervisor"/>
    <x v="17"/>
    <s v="FERNANDA APARECIDA TOMAZINI"/>
    <x v="1"/>
    <s v="RUA BORGES DE MEDEIROS 410"/>
    <s v="CENTRO"/>
    <s v="PORTO ALEGRE"/>
    <s v="90020-023"/>
    <m/>
    <s v="-"/>
    <s v="-"/>
    <s v="NÃO"/>
    <s v="VERSÁTIL"/>
    <s v="BASE ÚNICA"/>
    <n v="867"/>
    <s v="CALL CENTER PRODUTOS E SERVIÇOS VII"/>
    <x v="0"/>
  </r>
  <r>
    <n v="149600"/>
    <s v="CALL CENTER PRODUTOS E SERVIÇOS VIII 149600"/>
    <s v="Sem supervisor"/>
    <x v="17"/>
    <s v="FERNANDA APARECIDA TOMAZINI"/>
    <x v="1"/>
    <s v="AV. BORGES DE MEDEIROS, 410, 12º ANDAR"/>
    <s v="CENTRO"/>
    <s v="PORTO ALEGRE"/>
    <s v="90020-022"/>
    <m/>
    <s v="-"/>
    <s v="-"/>
    <s v="NÃO"/>
    <s v="VERSÁTIL"/>
    <s v="BASE ÚNICA"/>
    <n v="873"/>
    <s v="CALL CENTER PRODUTOS E SERVIÇOS VIII"/>
    <x v="0"/>
  </r>
  <r>
    <n v="1499"/>
    <s v="CALL CENTER SIAPE - RS 1499"/>
    <s v="ALISSON MONEGO PEREIRA"/>
    <x v="17"/>
    <s v="FERNANDA APARECIDA TOMAZINI"/>
    <x v="1"/>
    <s v="AV. BORGES DE MEDEIROS 410/8 ANDAR"/>
    <s v="CENTRO"/>
    <s v="PORTO ALEGRE"/>
    <s v="90020-022"/>
    <m/>
    <s v="-"/>
    <s v="-"/>
    <s v="NÃO"/>
    <s v="VERSÁTIL"/>
    <s v="BASE ÚNICA"/>
    <n v="282"/>
    <s v="CALL CENTER SIAPE - RS"/>
    <x v="0"/>
  </r>
  <r>
    <n v="15002"/>
    <s v="LOJA GOIANIA - GO"/>
    <s v="ADRIELE FERNANDA VIEIRA DA SILVA"/>
    <x v="18"/>
    <s v="MAYARA NOVAIS LOPES"/>
    <x v="12"/>
    <s v="RUA 02, 230 LJ 2 - EDIF CARLOS CHAGAS LOJA 2"/>
    <s v="SETOR CENTRAL"/>
    <s v="GOIANIA"/>
    <s v="74013-020"/>
    <m/>
    <n v="0"/>
    <n v="8"/>
    <s v="NÃO"/>
    <s v="VERSÁTIL"/>
    <s v="TRONCO"/>
    <n v="274"/>
    <s v="LOJA GOIANIA/GO"/>
    <x v="0"/>
  </r>
  <r>
    <n v="17207"/>
    <s v="LOJA SETOR CAMPINAS - GO "/>
    <s v="GEOVANNA ALVES DE PAULA VAZ"/>
    <x v="18"/>
    <s v="MAYARA NOVAIS LOPES"/>
    <x v="12"/>
    <s v="AV. 24 DE OUTUBRO, N.779 QD.43 LT.04 SL.01"/>
    <s v="SETOR CAMPINAS "/>
    <s v="GOIANIA"/>
    <s v="74505-011"/>
    <m/>
    <n v="0"/>
    <n v="4"/>
    <s v="NÃO"/>
    <s v="VERSÁTIL"/>
    <s v="TRONCO"/>
    <n v="740"/>
    <s v="LOJA SETOR CAMPINAS/GO"/>
    <x v="0"/>
  </r>
  <r>
    <n v="15361"/>
    <s v="LOJA SETOR GARAVELO - GO"/>
    <s v="POLIANA MORAIS SILVA"/>
    <x v="18"/>
    <s v="MAYARA NOVAIS LOPES"/>
    <x v="12"/>
    <s v="AVENIDA DA IGUALDADE QD 095, LT 03"/>
    <s v="SETOR GARAVELO"/>
    <s v="APARECIDA DE GOIANIA"/>
    <s v="74930-530"/>
    <m/>
    <n v="0"/>
    <n v="4"/>
    <s v="NÃO"/>
    <s v="VERSÁTIL"/>
    <s v="TRONCO"/>
    <n v="749"/>
    <s v="LOJA SETOR GARAVELO - GO"/>
    <x v="0"/>
  </r>
  <r>
    <n v="13976"/>
    <s v="LOJA ANJO DA GUARDA - MA"/>
    <s v="MEYRILANE SOUSA BARROS"/>
    <x v="19"/>
    <s v="MAYARA NOVAIS LOPES"/>
    <x v="13"/>
    <s v="AVENIDA MOÇAMBIQUE, 05"/>
    <s v="ANJO DA GUARDA"/>
    <s v="SÃO LUIS"/>
    <m/>
    <m/>
    <m/>
    <n v="3"/>
    <m/>
    <s v="VERSÁTIL"/>
    <s v="TRONCO"/>
    <n v="505"/>
    <s v="LOJA ANJO DA GUARDA/MA"/>
    <x v="0"/>
  </r>
  <r>
    <n v="12257"/>
    <s v="LOJA JOAO PAULO - MA"/>
    <s v="LAYANE JAYRA DA SILVA CARVALHO"/>
    <x v="19"/>
    <s v="MAYARA NOVAIS LOPES"/>
    <x v="13"/>
    <s v="AV. JOAO PESSOA 182"/>
    <s v="JOAO PAULO"/>
    <s v="SAO LUIS"/>
    <s v="64040-000"/>
    <d v="2021-10-18T00:00:00"/>
    <d v="2021-10-18T00:00:00"/>
    <n v="3"/>
    <s v="NÃO"/>
    <s v="VERSÁTIL"/>
    <s v="TRONCO"/>
    <n v="865"/>
    <s v="LOJA JOAO PAULO - MA"/>
    <x v="0"/>
  </r>
  <r>
    <n v="31381"/>
    <s v="LOJA PAÇO DO LUMIAR - MA"/>
    <s v="BIANCA NIUANE DIAS MESQUITA"/>
    <x v="19"/>
    <s v="MAYARA NOVAIS LOPES"/>
    <x v="13"/>
    <s v="RODOVIA MA-201 (ESTRADA DE RIBAMAR) KM 7, Nº 7114"/>
    <s v="BAIRRO TIJUPÁ QUEIMADO"/>
    <s v="PAÇO DO LUMIAR"/>
    <n v="0"/>
    <d v="2021-04-12T00:00:00"/>
    <d v="2021-04-12T00:00:00"/>
    <n v="3"/>
    <s v="NÃO"/>
    <s v="VERSÁTIL"/>
    <s v="BASE ÚNICA"/>
    <n v="844"/>
    <s v="LOJA PAÇO DO LUMIAR - MA"/>
    <x v="0"/>
  </r>
  <r>
    <n v="31388"/>
    <s v="LOJA SAO JOSE DE RIBAMAR - MA"/>
    <s v="STEPHANIE FURTADO DE CARVALHO"/>
    <x v="19"/>
    <s v="MAYARA NOVAIS LOPES"/>
    <x v="13"/>
    <s v="AV. GONÇALVES DIAS 711, SALA 02"/>
    <s v="CENTRO"/>
    <s v="SAO JOSE DE RIBAMAR"/>
    <s v="65110-000"/>
    <d v="2021-05-03T00:00:00"/>
    <d v="2021-05-03T00:00:00"/>
    <n v="4"/>
    <s v="NÃO"/>
    <s v="VERSÁTIL"/>
    <s v="BASE ÚNICA"/>
    <n v="852"/>
    <s v="LOJA SÃO JOSE DE RIBAMAR/MA"/>
    <x v="0"/>
  </r>
  <r>
    <n v="13900"/>
    <s v="LOJA SAO LUIS - MA"/>
    <s v="DARILENE SILVA BARROSO"/>
    <x v="19"/>
    <s v="MAYARA NOVAIS LOPES"/>
    <x v="13"/>
    <s v="RUA DO SOL , 585"/>
    <s v="CENTRO"/>
    <s v="SAO LUIS"/>
    <s v="65020-590"/>
    <m/>
    <n v="0"/>
    <n v="5"/>
    <s v="NÃO"/>
    <s v="VERSÁTIL"/>
    <s v="TRONCO"/>
    <n v="234"/>
    <s v="LOJA SAO LUIS/MA"/>
    <x v="0"/>
  </r>
  <r>
    <n v="20085"/>
    <s v="LOJA TERESINA II - PI"/>
    <s v="MARCIELE DA SILVA VIEIRA"/>
    <x v="19"/>
    <s v="MAYARA NOVAIS LOPES"/>
    <x v="14"/>
    <s v="BARROSO, Nº 151"/>
    <s v="CENTRO"/>
    <s v="TERESINA"/>
    <s v="64000-130"/>
    <d v="2020-11-26T00:00:00"/>
    <d v="2020-11-26T00:00:00"/>
    <n v="7"/>
    <s v="SIM"/>
    <s v="VERSÁTIL"/>
    <s v="TRONCO"/>
    <n v="817"/>
    <s v="LOJA TERESINA II"/>
    <x v="0"/>
  </r>
  <r>
    <n v="31382"/>
    <s v="LOJA TIRIRICAL - MA"/>
    <s v="NAYRA BASTOS DA SILVA"/>
    <x v="19"/>
    <s v="MAYARA NOVAIS LOPES"/>
    <x v="13"/>
    <s v="AV. GUARAJARAS, Nº 30, Shopping Marajo LJ 07"/>
    <s v="TIRIRICAL"/>
    <s v="SAO LUIS"/>
    <s v="65055-285"/>
    <d v="2021-04-05T00:00:00"/>
    <d v="2021-04-05T00:00:00"/>
    <n v="5"/>
    <s v="NÃO"/>
    <s v="VERSÁTIL"/>
    <s v="TRONCO"/>
    <n v="846"/>
    <s v="LOJA TIRIRICAL/MA"/>
    <x v="0"/>
  </r>
  <r>
    <n v="12200"/>
    <s v="LOJA CAMPO GRANDE - MS"/>
    <s v="SUELEN TAVARES DE ARAUJO"/>
    <x v="18"/>
    <s v="MAYARA NOVAIS LOPES"/>
    <x v="15"/>
    <s v="RUA TREZE DE MAIO, 2892"/>
    <s v="CENTRO"/>
    <s v="CAMPO GRANDE"/>
    <s v="79002-356"/>
    <m/>
    <n v="0"/>
    <n v="6"/>
    <s v="NÃO"/>
    <s v="VERSÁTIL"/>
    <s v="BASE ÚNICA"/>
    <n v="305"/>
    <s v="LOJA CAMPO GRANDE/MS"/>
    <x v="0"/>
  </r>
  <r>
    <n v="19201"/>
    <s v="LOJA CUIABA - MT"/>
    <s v="STELLA CORDEIRO ALVES"/>
    <x v="18"/>
    <s v="MAYARA NOVAIS LOPES"/>
    <x v="16"/>
    <s v="RUA BARÃO DE MELGAÇO 3525, SL 3"/>
    <s v="CENTRO-NORTE "/>
    <s v="CUIABA"/>
    <s v="78005-300"/>
    <m/>
    <n v="0"/>
    <n v="4"/>
    <s v="SIM"/>
    <s v="VERSÁTIL"/>
    <s v="BASE ÚNICA"/>
    <n v="715"/>
    <s v="LOJA CUIABA"/>
    <x v="0"/>
  </r>
  <r>
    <n v="24009"/>
    <s v="LOJA PALMAS - TO"/>
    <s v="MARCELO HENRIQUE SILVA LOPES"/>
    <x v="18"/>
    <s v="MAYARA NOVAIS LOPES"/>
    <x v="17"/>
    <s v="QUADRA 104 SUL, RUA SE 01, N° 5, SALA 1,"/>
    <s v="PLANO DIRETOR SUL "/>
    <s v="PALMAS"/>
    <s v="77020-014"/>
    <m/>
    <n v="0"/>
    <n v="3"/>
    <s v="SIM"/>
    <s v="VERSÁTIL"/>
    <s v="BASE ÚNICA"/>
    <n v="775"/>
    <s v="LOJA PALMAS - TO"/>
    <x v="0"/>
  </r>
  <r>
    <n v="40325"/>
    <s v="LOJA  JUIZ DE FORA - MG"/>
    <s v="BIANCA GOMES MARCIANO SILVA"/>
    <x v="20"/>
    <s v="MAYARA NOVAIS LOPES"/>
    <x v="18"/>
    <s v="RUA BARÃO DE SÃO JOÃO NEPOMUCENO, 66"/>
    <s v="CENTRO"/>
    <s v="JUIZ DE FORA"/>
    <s v="36014-008"/>
    <d v="2022-01-17T00:00:00"/>
    <d v="2022-01-17T00:00:00"/>
    <n v="5"/>
    <s v="NÃO"/>
    <s v="SONAVOIP"/>
    <s v="SONAVOIP"/>
    <n v="879"/>
    <s v="LOJA JUIZ DE FORA - MG"/>
    <x v="0"/>
  </r>
  <r>
    <n v="4900"/>
    <s v="LOJA BELO HORIZONTE - MG"/>
    <s v="KELLY TATIANY DE MELO"/>
    <x v="20"/>
    <s v="MAYARA NOVAIS LOPES"/>
    <x v="18"/>
    <s v="AV. AFONSO PENA 925 "/>
    <s v="CENTRO "/>
    <s v="BELO HORIZONTE"/>
    <s v="30130-002"/>
    <m/>
    <n v="0"/>
    <n v="7"/>
    <s v="NÃO"/>
    <s v="VERSÁTIL"/>
    <s v="TRONCO"/>
    <n v="627"/>
    <s v="LOJA BELO HORIZONTE - MG"/>
    <x v="0"/>
  </r>
  <r>
    <n v="400013"/>
    <s v="LOJA CATAGUASES - MG"/>
    <s v="CARLOS VINICIUS TEIXEIRA DE SOUZA"/>
    <x v="20"/>
    <s v="MAYARA NOVAIS LOPES"/>
    <x v="18"/>
    <s v="RUA NOGUEIRA NEVES 22"/>
    <s v="CENTRO"/>
    <s v="CATAGUASES"/>
    <s v="36770-070"/>
    <d v="2022-02-01T00:00:00"/>
    <d v="2022-02-01T00:00:00"/>
    <n v="3"/>
    <s v="NÃO"/>
    <s v="SONAVOIP"/>
    <s v="SONAVOIP"/>
    <n v="877"/>
    <s v="LOJA CATAGUASES - MG"/>
    <x v="0"/>
  </r>
  <r>
    <n v="40324"/>
    <s v="LOJA CONSELHEIRO LAFAIETE-MG"/>
    <s v="VALDA CONCEICAO DE OLIVEIRA"/>
    <x v="20"/>
    <s v="MAYARA NOVAIS LOPES"/>
    <x v="18"/>
    <s v="RUA AFONSO PENA, 86 "/>
    <s v="CONSELHEIRO LAFAIETE"/>
    <s v="BELO HORIZONTE"/>
    <s v="36400-062"/>
    <d v="2022-01-17T00:00:00"/>
    <d v="2022-01-17T00:00:00"/>
    <n v="3"/>
    <s v="NÃO"/>
    <s v="SONAVOIP"/>
    <s v="SONAVOIP"/>
    <n v="878"/>
    <s v="LOJA CONSELHEIRO LAFAIETE- MG"/>
    <x v="0"/>
  </r>
  <r>
    <n v="45034"/>
    <s v="LOJA CONTAGEM - MG"/>
    <s v="CARLOS VINICIUS TEIXEIRA FRANCA"/>
    <x v="20"/>
    <s v="MAYARA NOVAIS LOPES"/>
    <x v="18"/>
    <s v="AV. LONDRES, 47 LOJA 1"/>
    <s v="ELDORADO"/>
    <s v="CONTAGEM"/>
    <s v="32340-570"/>
    <m/>
    <n v="0"/>
    <n v="4"/>
    <s v="NÃO"/>
    <s v="VERSÁTIL"/>
    <s v="BASE ÚNICA"/>
    <n v="745"/>
    <s v="LOJA CONTAGEM/MG"/>
    <x v="0"/>
  </r>
  <r>
    <n v="400012"/>
    <s v="LOJA MURIAE - MG"/>
    <s v="SABRINA DA SILVA SOUZA"/>
    <x v="20"/>
    <s v="MAYARA NOVAIS LOPES"/>
    <x v="18"/>
    <s v="RUA PASCOAL BERNARDINO, 231, LOJA C "/>
    <s v="CENTRO"/>
    <s v="MURIAE"/>
    <s v="36880-049"/>
    <d v="2022-03-14T00:00:00"/>
    <d v="2022-03-14T00:00:00"/>
    <n v="3"/>
    <s v="NÃO"/>
    <s v="SONAVOIP"/>
    <s v="SONAVOIP"/>
    <n v="882"/>
    <s v="LOJA MURIAE "/>
    <x v="0"/>
  </r>
  <r>
    <n v="45018"/>
    <s v="LOJA SANTA LUZIA - MG"/>
    <s v="JUCILEA LIDIA JANUÁRIO"/>
    <x v="20"/>
    <s v="MAYARA NOVAIS LOPES"/>
    <x v="18"/>
    <s v="AV. BRASILIA,  Nº 1838 LOJA 5"/>
    <s v="SÃO BENEDITO"/>
    <s v="SANTA LUZIA"/>
    <s v="33105-516"/>
    <m/>
    <n v="0"/>
    <n v="4"/>
    <s v="NÃO"/>
    <s v="VERSÁTIL"/>
    <s v="BASE ÚNICA"/>
    <n v="769"/>
    <s v="LOJA SANTA LUZIA/MG"/>
    <x v="0"/>
  </r>
  <r>
    <n v="400010"/>
    <s v="LOJA SANTOS DUMONT - MG"/>
    <s v="JESSICA FERREIRA FIGUEIREDO"/>
    <x v="20"/>
    <s v="MAYARA NOVAIS LOPES"/>
    <x v="18"/>
    <s v="PRAÇA CESARIO ALVIM, 17"/>
    <s v="CENTRO"/>
    <s v="SANTOS DUMONT"/>
    <s v="36240-000"/>
    <d v="2022-01-17T00:00:00"/>
    <d v="2022-01-17T00:00:00"/>
    <n v="3"/>
    <s v="NÃO"/>
    <s v="SONAVOIP"/>
    <s v="SONAVOIP"/>
    <n v="886"/>
    <s v="LOJA MOGI DAS CRUZES"/>
    <x v="0"/>
  </r>
  <r>
    <n v="92760"/>
    <s v="LOJA UBA - MG"/>
    <s v="LUCIANA VIEIRA PERON RODRIGUES"/>
    <x v="20"/>
    <s v="MAYARA NOVAIS LOPES"/>
    <x v="18"/>
    <s v="RUA CRISTIANO ROÇAS, 204 , LOJA 01"/>
    <s v="CENTRO"/>
    <s v="UBA"/>
    <s v="36500-000"/>
    <d v="2022-01-17T00:00:00"/>
    <d v="2022-01-17T00:00:00"/>
    <n v="3"/>
    <s v="NÃO"/>
    <s v="SONAVOIP"/>
    <s v="SONAVOIP"/>
    <n v="875"/>
    <s v="LOJA UBA - MG"/>
    <x v="0"/>
  </r>
  <r>
    <n v="400011"/>
    <s v="LOJA VIÇOSA - MG"/>
    <s v="JEAN CARLOS PEREIRA ASSIS"/>
    <x v="20"/>
    <s v="MAYARA NOVAIS LOPES"/>
    <x v="18"/>
    <s v="RUA DOUTOR MILTON BANDEIRA, 111, LOJA 06"/>
    <s v="CENTRO"/>
    <s v="VICOSA"/>
    <s v="36570-172"/>
    <d v="2022-02-28T00:00:00"/>
    <d v="2022-02-28T00:00:00"/>
    <n v="3"/>
    <s v="NÃO"/>
    <s v="SONAVOIP"/>
    <s v="SONAVOIP"/>
    <n v="883"/>
    <s v="LOJA VICOSA"/>
    <x v="0"/>
  </r>
  <r>
    <n v="96330"/>
    <s v="LOJA MANAUS - ALVORADA - AM"/>
    <s v=""/>
    <x v="21"/>
    <s v="MAYARA NOVAIS LOPES"/>
    <x v="6"/>
    <s v="AV. DESEMBARGADOR JOÃO MACHADO. Nº 340, LOJA B"/>
    <s v="ALVORADA"/>
    <s v="MANAUS"/>
    <m/>
    <m/>
    <m/>
    <n v="4"/>
    <m/>
    <s v="VERSÁTIL"/>
    <s v="TRONCO"/>
    <m/>
    <m/>
    <x v="0"/>
  </r>
  <r>
    <n v="96329"/>
    <s v="LOJA MANAUS - CHAPADA - AM"/>
    <s v=""/>
    <x v="21"/>
    <s v="MAYARA NOVAIS LOPES"/>
    <x v="6"/>
    <s v="AV. DJALMA BATISTA, Nº 327"/>
    <s v="CHAPADA"/>
    <s v="MANAUS"/>
    <m/>
    <m/>
    <m/>
    <n v="4"/>
    <m/>
    <s v="VERSÁTIL"/>
    <s v="TRONCO"/>
    <m/>
    <m/>
    <x v="0"/>
  </r>
  <r>
    <n v="96331"/>
    <s v="LOJA MANAUS - CIDADE NOVA - AM"/>
    <s v=""/>
    <x v="21"/>
    <s v="MAYARA NOVAIS LOPES"/>
    <x v="6"/>
    <s v="RUA PROFESSOR FELIX VALOIS 63"/>
    <s v="CIDADE NOVA"/>
    <s v="MANAUS"/>
    <m/>
    <m/>
    <m/>
    <n v="4"/>
    <m/>
    <s v="VERSÁTIL"/>
    <s v="TRONCO"/>
    <m/>
    <m/>
    <x v="0"/>
  </r>
  <r>
    <n v="96714"/>
    <s v="LOJA MANAUS - COMPENSA - AM"/>
    <s v=""/>
    <x v="21"/>
    <s v="MAYARA NOVAIS LOPES"/>
    <x v="6"/>
    <s v="AV. BRASIL 45, LOJA D"/>
    <s v="COMPENSA"/>
    <s v="MANAUS"/>
    <m/>
    <m/>
    <m/>
    <n v="4"/>
    <m/>
    <s v="VERSÁTIL"/>
    <s v="TRONCO"/>
    <m/>
    <m/>
    <x v="0"/>
  </r>
  <r>
    <n v="96328"/>
    <s v="LOJA MANAUS - EDUCANDOS - AM"/>
    <s v=""/>
    <x v="21"/>
    <s v="MAYARA NOVAIS LOPES"/>
    <x v="6"/>
    <s v="RUA LEOPOLDO PERES, 673"/>
    <s v="EDUCANDOS"/>
    <s v="MANAUS"/>
    <m/>
    <m/>
    <m/>
    <n v="4"/>
    <m/>
    <s v="VERSÁTIL"/>
    <s v="TRONCO"/>
    <m/>
    <m/>
    <x v="0"/>
  </r>
  <r>
    <n v="96713"/>
    <s v="LOJA MANAUS - SAO JOSE OPERARIO - AM "/>
    <s v=""/>
    <x v="21"/>
    <s v="MAYARA NOVAIS LOPES"/>
    <x v="6"/>
    <s v="AV. AUTAZ MIRIM, 5679"/>
    <s v="SÃO JOSÉ"/>
    <s v="MANAUS"/>
    <m/>
    <m/>
    <m/>
    <n v="5"/>
    <m/>
    <s v="VERSÁTIL"/>
    <s v="TRONCO"/>
    <m/>
    <m/>
    <x v="0"/>
  </r>
  <r>
    <n v="180007"/>
    <s v="LOJA ANANINDEUA - PA"/>
    <s v="ANTONIO STELYO DE ARAUJO BARBOSA"/>
    <x v="22"/>
    <s v="MAYARA NOVAIS LOPES"/>
    <x v="19"/>
    <s v="CONJUNTO CIDADE NOVA VII WE-64, 712, A"/>
    <s v="COQUEIRO"/>
    <s v="ANANINDEUA"/>
    <s v="67140-652"/>
    <d v="2022-04-27T00:00:00"/>
    <d v="2022-04-27T00:00:00"/>
    <n v="5"/>
    <s v="NÃO"/>
    <s v="SONAVOIP"/>
    <s v="SONAVOIP"/>
    <n v="481"/>
    <s v="LOJA ANANINDEUA - PA"/>
    <x v="0"/>
  </r>
  <r>
    <n v="17500"/>
    <s v="LOJA BELEM - PA"/>
    <s v="SUELLEM DOS SANTOS SANTANA LIMA"/>
    <x v="22"/>
    <s v="MAYARA NOVAIS LOPES"/>
    <x v="19"/>
    <s v="AV. PRESIDENTE VARGAS, 351, LOJA 345"/>
    <s v="BAIRRO CAMPINAS"/>
    <s v="BELEM"/>
    <s v="66010-095"/>
    <m/>
    <n v="0"/>
    <n v="7"/>
    <s v="NÃO"/>
    <s v="VERSÁTIL"/>
    <s v="TRONCO"/>
    <n v="226"/>
    <s v="LOJA BELEM/PA"/>
    <x v="0"/>
  </r>
  <r>
    <n v="600098"/>
    <s v="LOJA BRAGANÇA - PA"/>
    <s v="JAILTON ALVES DA SILVA"/>
    <x v="22"/>
    <s v="MAYARA NOVAIS LOPES"/>
    <x v="19"/>
    <s v="TRAVESSA VIGÁRIO MOTA Nº 10"/>
    <s v="CENTRO"/>
    <s v="BRAGANÇA "/>
    <s v="68600-000"/>
    <d v="2023-04-24T00:00:00"/>
    <d v="2023-04-24T00:00:00"/>
    <n v="4"/>
    <s v="NÃO"/>
    <s v="VERSÁTIL"/>
    <s v="BASE ÚNICA"/>
    <m/>
    <m/>
    <x v="0"/>
  </r>
  <r>
    <n v="17514"/>
    <s v="LOJA ICOARACI - PA"/>
    <s v="ELIZANGELA SORAIA DOS SANTOS SILVA"/>
    <x v="22"/>
    <s v="MAYARA NOVAIS LOPES"/>
    <x v="19"/>
    <s v="AV. DR. LOPO DE CASTRO, 293 A"/>
    <s v="ICOARACI"/>
    <s v="BELEM"/>
    <s v="66810-000"/>
    <d v="2021-05-03T00:00:00"/>
    <d v="2021-05-03T00:00:00"/>
    <n v="4"/>
    <s v="NÃO"/>
    <s v="VERSÁTIL"/>
    <s v="TRONCO"/>
    <n v="848"/>
    <s v="LOJA ICOARACI - PA"/>
    <x v="0"/>
  </r>
  <r>
    <n v="22001"/>
    <s v="LOJA MACAPA - AP"/>
    <s v="ELISANDREA CARVALHO VIDAL"/>
    <x v="22"/>
    <s v="MAYARA NOVAIS LOPES"/>
    <x v="20"/>
    <s v="AV. CORIOLANO JUCA, 157 A"/>
    <s v="CENTRAL"/>
    <s v="MACAPA"/>
    <s v="68900-101"/>
    <m/>
    <n v="0"/>
    <n v="4"/>
    <s v="NÃO"/>
    <s v="VERSÁTIL"/>
    <s v="BASE ÚNICA"/>
    <n v="287"/>
    <s v="LOJA MACAPA/AP"/>
    <x v="0"/>
  </r>
  <r>
    <n v="11303"/>
    <s v="LOJA CARIACICA - ES"/>
    <s v="JORDANA DIAS DA SILVA"/>
    <x v="23"/>
    <s v="THAYSA SANDIM DE SOUZA"/>
    <x v="21"/>
    <s v="AV EXPEDITO GARCIA 210/475 COM 02, PAV BL 01"/>
    <s v="CAMPO GRANDE"/>
    <s v="CARIACICA"/>
    <s v="29146-200"/>
    <d v="2020-11-03T00:00:00"/>
    <d v="2020-11-03T00:00:00"/>
    <n v="6"/>
    <s v="SIM"/>
    <s v="VERSÁTIL"/>
    <s v="BASE ÚNICA"/>
    <n v="815"/>
    <s v="LOJA CARIACICA - ES"/>
    <x v="0"/>
  </r>
  <r>
    <n v="11304"/>
    <s v="LOJA GUARAPARI - ES"/>
    <s v="DEBORA MARIANO DE ALMEIDA LIRA"/>
    <x v="23"/>
    <s v="THAYSA SANDIM DE SOUZA"/>
    <x v="21"/>
    <s v="RUA CUSTÓDIO GONÇALVES SANTOS 232"/>
    <s v="CENTRO"/>
    <s v="GUARAPARI"/>
    <s v="29200-280"/>
    <d v="2020-11-03T00:00:00"/>
    <d v="2020-11-03T00:00:00"/>
    <n v="4"/>
    <s v="SIM"/>
    <s v="VERSÁTIL"/>
    <s v="BASE ÚNICA"/>
    <n v="816"/>
    <s v="LOJA GUARAPARI - ES"/>
    <x v="0"/>
  </r>
  <r>
    <n v="9362"/>
    <s v="LOJA LINHARES - ES"/>
    <s v="VANEIVA DE NOVAIS VIEIRA"/>
    <x v="23"/>
    <s v="THAYSA SANDIM DE SOUZA"/>
    <x v="21"/>
    <s v="CAPITÃO JOSÉ MARIA, Nº 1.031, LOJA 02"/>
    <s v="CENTRO"/>
    <s v="LINHARES"/>
    <s v="29900-171"/>
    <d v="2020-11-03T00:00:00"/>
    <d v="2020-11-03T00:00:00"/>
    <n v="5"/>
    <s v="SIM"/>
    <s v="VERSÁTIL"/>
    <s v="BASE ÚNICA"/>
    <n v="812"/>
    <s v="LOJA LINHARES - ES"/>
    <x v="0"/>
  </r>
  <r>
    <n v="9360"/>
    <s v="LOJA SERRA - ES"/>
    <s v="Sem supervisor"/>
    <x v="23"/>
    <s v="THAYSA SANDIM DE SOUZA"/>
    <x v="21"/>
    <s v="RÔMULO CASTELO, Nº. 18, LOJA 01 B"/>
    <s v="CENTRO"/>
    <s v="SERRA"/>
    <s v="29176-080"/>
    <d v="2020-11-03T00:00:00"/>
    <d v="2020-11-03T00:00:00"/>
    <n v="6"/>
    <s v="SIM"/>
    <s v="VERSÁTIL"/>
    <s v="BASE ÚNICA"/>
    <n v="813"/>
    <s v="LOJA SERRA - ES"/>
    <x v="0"/>
  </r>
  <r>
    <n v="11950"/>
    <s v="LOJA VILA VELHA - ES"/>
    <s v="CAROLINE DOS SANTOS GOES"/>
    <x v="23"/>
    <s v="THAYSA SANDIM DE SOUZA"/>
    <x v="21"/>
    <s v="RODOVIA CARLOS LINDEMBERG 799, LOJA"/>
    <s v="GLORIA"/>
    <s v="VILA VELHA"/>
    <s v="29122-036"/>
    <m/>
    <n v="0"/>
    <n v="4"/>
    <s v="SIM"/>
    <s v="VERSÁTIL"/>
    <s v="BASE ÚNICA"/>
    <n v="725"/>
    <s v="LOJA VILA VELHA - ES"/>
    <x v="0"/>
  </r>
  <r>
    <n v="11900"/>
    <s v="LOJA VITORIA - ES"/>
    <s v="DALILA LOPES DA SILVA"/>
    <x v="23"/>
    <s v="THAYSA SANDIM DE SOUZA"/>
    <x v="21"/>
    <s v="RUA GONÇALVES DIAS, 20 - LOJA 02"/>
    <s v="CENTRO"/>
    <s v="VITORIA"/>
    <s v="29010-130"/>
    <m/>
    <n v="0"/>
    <n v="8"/>
    <s v="SIM"/>
    <s v="VERSÁTIL"/>
    <s v="BASE ÚNICA"/>
    <n v="215"/>
    <s v="LOJA VITORIA/ES"/>
    <x v="0"/>
  </r>
  <r>
    <n v="6000031"/>
    <s v="LOJA ANGRA DOS REIS - RJ"/>
    <s v="BRUNO EDUARDO LIMA SILVA"/>
    <x v="24"/>
    <s v="THAYSA SANDIM DE SOUZA"/>
    <x v="22"/>
    <s v="RUA DA CONCEIÇÃO 16"/>
    <s v="CENTRO"/>
    <s v="ANGRA DOS REIS"/>
    <s v="23900-437"/>
    <m/>
    <n v="0"/>
    <n v="4"/>
    <s v="NÃO"/>
    <s v="SONAVOIP"/>
    <s v="SONAVOIP"/>
    <n v="880"/>
    <s v="LOJA ANGRA DOS REIS - RJ"/>
    <x v="0"/>
  </r>
  <r>
    <n v="61019"/>
    <s v="LOJA BARRA DO PIRAI - RJ"/>
    <s v="MARIA FERNANDA DE AVELLAR SPOSITO"/>
    <x v="24"/>
    <s v="THAYSA SANDIM DE SOUZA"/>
    <x v="22"/>
    <s v="RUA GOVERNADOR PORTELA, Nº 229"/>
    <s v="CENTRO"/>
    <s v="BARRA DO PIRAI"/>
    <s v="27123-000"/>
    <d v="2021-04-12T00:00:00"/>
    <d v="2021-04-12T00:00:00"/>
    <n v="4"/>
    <s v="NÃO"/>
    <s v="VERSÁTIL"/>
    <s v="BASE ÚNICA"/>
    <n v="842"/>
    <s v="LOJA BARRA DO PIRAI - RJ"/>
    <x v="0"/>
  </r>
  <r>
    <n v="60495"/>
    <s v="LOJA BARRA MANSA - RJ"/>
    <s v="YASMIM APARECIDA DOS ANJOS PARANHOS"/>
    <x v="24"/>
    <s v="THAYSA SANDIM DE SOUZA"/>
    <x v="22"/>
    <s v="AV. JOAQUIM LEITE, Nº 509,EDIF SHOP E HOUSE, LJ 3"/>
    <s v="CENTRO"/>
    <s v="BARRA MANSA"/>
    <n v="0"/>
    <d v="2021-04-09T00:00:00"/>
    <d v="2021-04-09T00:00:00"/>
    <n v="4"/>
    <s v="NÃO"/>
    <s v="VERSÁTIL"/>
    <s v="BASE ÚNICA"/>
    <n v="851"/>
    <s v="LOJA BARRA MANSA - RJ"/>
    <x v="0"/>
  </r>
  <r>
    <n v="600046"/>
    <s v="LOJA CRUZEIRO - SP"/>
    <s v="DANIELE FERNANDES MARCONDES DE S. RIBEIRO"/>
    <x v="24"/>
    <s v="THAYSA SANDIM DE SOUZA"/>
    <x v="2"/>
    <s v="RUA ENGENHEIRO ANTONIO PENIDO, 699"/>
    <s v="CENTRO"/>
    <s v="CRUZEIRO"/>
    <s v="12701-050"/>
    <d v="2021-11-29T00:00:00"/>
    <d v="2021-11-29T00:00:00"/>
    <n v="5"/>
    <s v="NÃO"/>
    <s v="VERSÁTIL"/>
    <s v="BASE ÚNICA"/>
    <n v="410"/>
    <s v="LOJA CRUZEIRO - SP"/>
    <x v="0"/>
  </r>
  <r>
    <n v="600056"/>
    <s v="LOJA GUARATINGUETA - SP"/>
    <s v="DANIELLE MARIA FERREIRA DINIZ"/>
    <x v="24"/>
    <s v="THAYSA SANDIM DE SOUZA"/>
    <x v="2"/>
    <s v="RUA MONSENHOR FILIPPO, 170 - SALA 5"/>
    <s v="CENTRO"/>
    <s v="GUARATINGUETA"/>
    <s v="12501-410"/>
    <d v="2021-12-19T00:00:00"/>
    <d v="2021-12-19T00:00:00"/>
    <n v="4"/>
    <s v="NÃO"/>
    <s v="VERSÁTIL"/>
    <s v="BASE ÚNICA"/>
    <n v="884"/>
    <s v="LOJA GUARATINGUETA"/>
    <x v="0"/>
  </r>
  <r>
    <n v="600047"/>
    <s v="LOJA LORENA - SP"/>
    <s v="WILDSON ALVES FERREIRA"/>
    <x v="24"/>
    <s v="THAYSA SANDIM DE SOUZA"/>
    <x v="2"/>
    <s v="RUA SÃO BENEDITO, 107"/>
    <s v="CENTRO"/>
    <s v="LORENA"/>
    <s v="12600-010"/>
    <d v="2021-11-29T00:00:00"/>
    <d v="2021-11-29T00:00:00"/>
    <n v="4"/>
    <s v="NÃO"/>
    <s v="VERSÁTIL"/>
    <s v="BASE ÚNICA"/>
    <n v="885"/>
    <s v="LOJA LORENA"/>
    <x v="0"/>
  </r>
  <r>
    <n v="60498"/>
    <s v="LOJA RESENDE - RJ"/>
    <s v="SUELEN VIANA DOS SANTOS"/>
    <x v="24"/>
    <s v="THAYSA SANDIM DE SOUZA"/>
    <x v="22"/>
    <s v="AV. NOVA RESENDE Nº 31, LOJA 01"/>
    <s v="CAMPOS ELISEOS"/>
    <s v="RESENDE"/>
    <s v="27542-130"/>
    <d v="2021-04-12T00:00:00"/>
    <d v="2021-04-12T00:00:00"/>
    <n v="4"/>
    <s v="NÃO"/>
    <s v="VERSÁTIL"/>
    <s v="BASE ÚNICA"/>
    <n v="843"/>
    <s v="LOJA RESENDE - RJ"/>
    <x v="0"/>
  </r>
  <r>
    <n v="50733"/>
    <s v="LOJA SAO JOSE DOS CAMPOS - SP"/>
    <s v="CAROLINA APARECIDA DE OLIVEIRA OLIMPIO"/>
    <x v="24"/>
    <s v="THAYSA SANDIM DE SOUZA"/>
    <x v="2"/>
    <s v="RUA SETE DE SETEMBRO N° 290 2°ANDAR SALA 24"/>
    <s v="CENTRO"/>
    <s v="SAO JOSE DOS CAMPOS"/>
    <s v="12210-260"/>
    <m/>
    <n v="0"/>
    <n v="4"/>
    <s v="NÃO"/>
    <s v="VERSÁTIL"/>
    <s v="BASE ÚNICA"/>
    <n v="301"/>
    <s v="LOJA SAO JOSE DOS CAMPOS/SP"/>
    <x v="0"/>
  </r>
  <r>
    <n v="600057"/>
    <s v="LOJA TAUBATE - SP"/>
    <s v="DAIANE MARIANO DANTAS DE ARAUJO ESQUIVEL"/>
    <x v="24"/>
    <s v="THAYSA SANDIM DE SOUZA"/>
    <x v="2"/>
    <s v="RUA SACRAMENTO, 115, LOJA 02"/>
    <s v="CENTRO"/>
    <s v="TAUBATE"/>
    <s v="12010-010"/>
    <m/>
    <n v="0"/>
    <n v="4"/>
    <s v="NÃO"/>
    <s v="VERSÁTIL"/>
    <s v="BASE ÚNICA"/>
    <n v="888"/>
    <s v="LOJA TAUBATE"/>
    <x v="0"/>
  </r>
  <r>
    <n v="60007"/>
    <s v="LOJA VOLTA REDONDA - RJ"/>
    <s v="HELEN MAXIMIANO SANTOS"/>
    <x v="24"/>
    <s v="THAYSA SANDIM DE SOUZA"/>
    <x v="22"/>
    <s v="RUA GUSTAVO LIRA 334 , LOJA 02,04,05"/>
    <s v="CENTRO"/>
    <s v="VOLTA REDONDA"/>
    <s v="27253-280"/>
    <m/>
    <n v="0"/>
    <n v="6"/>
    <s v="NÃO"/>
    <s v="VERSÁTIL"/>
    <s v="TRONCO"/>
    <n v="292"/>
    <s v="LOJA VOLTA REDONDA/RJ"/>
    <x v="0"/>
  </r>
  <r>
    <n v="60494"/>
    <s v="LOJA VOLTA REDONDA II - RJ"/>
    <s v="LAURIANA MORAES DA CONCEICAO LEITE"/>
    <x v="24"/>
    <s v="THAYSA SANDIM DE SOUZA"/>
    <x v="22"/>
    <s v="RUA SAGRES, 27, LOJA 27"/>
    <s v="RETIRO"/>
    <s v="VOLTA REDONDA"/>
    <n v="0"/>
    <d v="2021-04-05T00:00:00"/>
    <d v="2021-04-05T00:00:00"/>
    <n v="4"/>
    <s v="NÃO"/>
    <s v="VERSÁTIL"/>
    <s v="TRONCO"/>
    <n v="853"/>
    <s v="LOJA VOLTA REDONDA II - RJ"/>
    <x v="0"/>
  </r>
  <r>
    <n v="60099"/>
    <s v="LOJA BANGU - RJ"/>
    <s v="NATANE FELIX DE OLIVEIRA"/>
    <x v="25"/>
    <s v="THAYSA SANDIM DE SOUZA"/>
    <x v="22"/>
    <s v="RUA SILVA CARDOSO 125, LOJA J"/>
    <s v="BANGU"/>
    <s v="RIO DE JANEIRO"/>
    <s v="21810-031"/>
    <d v="2021-07-12T00:00:00"/>
    <d v="2021-07-12T00:00:00"/>
    <n v="5"/>
    <s v="NÃO"/>
    <s v="VERSÁTIL"/>
    <s v="TRONCO"/>
    <n v="854"/>
    <s v="LOJA BANGU/RJ"/>
    <x v="0"/>
  </r>
  <r>
    <n v="61045"/>
    <s v="LOJA CAMPO GRANDE - RJ"/>
    <s v="THAIS DE ABREU SANTOS"/>
    <x v="25"/>
    <s v="THAYSA SANDIM DE SOUZA"/>
    <x v="22"/>
    <s v="AV. CESARIO DE MELO 3006, SALA 105 E 106"/>
    <s v="CAMPO GRANDE"/>
    <s v="RIO DE JANEIRO"/>
    <s v="23050-101"/>
    <d v="2021-05-03T00:00:00"/>
    <d v="2021-05-03T00:00:00"/>
    <n v="6"/>
    <s v="NÃO"/>
    <s v="VERSÁTIL"/>
    <s v="TRONCO"/>
    <n v="857"/>
    <s v="LOJA CAMPO GRANDE/RJ"/>
    <x v="0"/>
  </r>
  <r>
    <n v="60503"/>
    <s v="LOJA DUQUE DE CAXIAS - RJ"/>
    <s v="MARILIA GABRIELA LOPES FARIA"/>
    <x v="25"/>
    <s v="THAYSA SANDIM DE SOUZA"/>
    <x v="22"/>
    <s v="AV. BRIGADEIRO LIMA E SILVA 1526, LOJA E E F"/>
    <s v="JARDIM VINTE E CINCO DE AGOSTO"/>
    <s v="DUQUE DE CAXIAS"/>
    <s v="25071-182"/>
    <d v="2021-05-10T00:00:00"/>
    <d v="2021-05-10T00:00:00"/>
    <n v="6"/>
    <s v="NÃO"/>
    <s v="VERSÁTIL"/>
    <s v="BASE ÚNICA"/>
    <n v="861"/>
    <s v="LOJA DUQUE DE CAXIAS/RJ"/>
    <x v="0"/>
  </r>
  <r>
    <n v="60501"/>
    <s v="LOJA MADUREIRA - RJ"/>
    <s v="ROSILENE DA GLORIA MARTINS"/>
    <x v="25"/>
    <s v="THAYSA SANDIM DE SOUZA"/>
    <x v="22"/>
    <s v="TRAVESSA ALMERINDA FREITAS 41, LOJA B"/>
    <s v="MADUREIRA"/>
    <s v="RIO DE JANEIRO"/>
    <s v="21350-280"/>
    <d v="2021-06-14T00:00:00"/>
    <d v="2021-06-14T00:00:00"/>
    <n v="7"/>
    <s v="NÃO"/>
    <s v="VERSÁTIL"/>
    <s v="TRONCO"/>
    <n v="856"/>
    <s v="LOJA MADUREIRA/RJ"/>
    <x v="0"/>
  </r>
  <r>
    <n v="60502"/>
    <s v="LOJA MEIER - RJ"/>
    <s v="ANDREZA DA SILVA OLIVEIRA"/>
    <x v="25"/>
    <s v="THAYSA SANDIM DE SOUZA"/>
    <x v="22"/>
    <s v="RUA CONSTANÇA BARBOSA 96, LOJA E"/>
    <s v="MEIER"/>
    <s v="RIO DE JANEIRO"/>
    <s v="20735-090"/>
    <d v="2021-04-26T00:00:00"/>
    <d v="2021-04-26T00:00:00"/>
    <n v="4"/>
    <s v="NÃO"/>
    <s v="VERSÁTIL"/>
    <s v="TRONCO"/>
    <n v="858"/>
    <s v="LOJA MEIER/RJ"/>
    <x v="0"/>
  </r>
  <r>
    <n v="60500"/>
    <s v="LOJA NITEROI - RJ"/>
    <s v="FERNANDA CRISTINA DOS SANTOS PEREIRA"/>
    <x v="25"/>
    <s v="THAYSA SANDIM DE SOUZA"/>
    <x v="22"/>
    <s v="AVENIDA AMARAL PEIXOTO 36, LOJA 03"/>
    <s v="CENTRO"/>
    <s v="NITEROI"/>
    <s v="24020-074"/>
    <d v="2021-05-24T00:00:00"/>
    <d v="2021-05-24T00:00:00"/>
    <n v="5"/>
    <s v="NÃO"/>
    <s v="VERSÁTIL"/>
    <s v="BASE ÚNICA"/>
    <n v="862"/>
    <s v="LOJA NITEROI/RJ"/>
    <x v="0"/>
  </r>
  <r>
    <n v="60507"/>
    <s v="LOJA NOVA IGUAÇU - RJ"/>
    <s v="Sem supervisor"/>
    <x v="25"/>
    <s v="THAYSA SANDIM DE SOUZA"/>
    <x v="22"/>
    <s v="RUA DOM WALMOR, 11"/>
    <s v="CENTRO"/>
    <s v="NOVA IGUACU"/>
    <s v="26215-219"/>
    <m/>
    <n v="0"/>
    <n v="5"/>
    <s v="NÃO"/>
    <s v="VERSÁTIL"/>
    <s v="BASE ÚNICA"/>
    <n v="855"/>
    <s v="LOJA NOVA IGUAÇU/RJ"/>
    <x v="0"/>
  </r>
  <r>
    <n v="60900"/>
    <s v="LOJA RIO DE JANEIRO - RJ"/>
    <s v="CAROLINA HERNANDES FLORIDO DE SOUZA"/>
    <x v="25"/>
    <s v="THAYSA SANDIM DE SOUZA"/>
    <x v="22"/>
    <s v="RUA SETE DE SETEMBRO 98, LOJA H"/>
    <s v="CENTRO"/>
    <s v="RIO DE JANEIRO"/>
    <s v="20050-002"/>
    <m/>
    <n v="0"/>
    <n v="5"/>
    <s v="NÃO"/>
    <s v="VERSÁTIL"/>
    <s v="TRONCO"/>
    <n v="629"/>
    <s v="LOJA RIO DE JANEIRO/RJ"/>
    <x v="0"/>
  </r>
  <r>
    <n v="96715"/>
    <s v="LOJA SANTA RITA - PB"/>
    <s v="Sem supervisor"/>
    <x v="16"/>
    <s v="CRISTIANE CARVALHO GEBELATTO"/>
    <x v="10"/>
    <s v="RUA FRANCISCO GOMES DE AZEVEDO, 11, SALA 11 C"/>
    <s v="CENTRO"/>
    <s v="SANTA RITA"/>
    <s v="58300-390"/>
    <m/>
    <m/>
    <n v="3"/>
    <m/>
    <s v="VERSÁTIL"/>
    <m/>
    <m/>
    <m/>
    <x v="0"/>
  </r>
  <r>
    <n v="49001"/>
    <s v="LOJA ALMENARA - MG"/>
    <s v="Sem supervisor"/>
    <x v="26"/>
    <s v="CRISTIANE CARVALHO GEBELATTO"/>
    <x v="18"/>
    <s v="RUA ALEIXO PARAGUASSU 158, LOJA 2"/>
    <s v="CENTRO"/>
    <s v="ALMENARA"/>
    <s v="39900-000"/>
    <m/>
    <m/>
    <n v="3"/>
    <m/>
    <m/>
    <m/>
    <m/>
    <m/>
    <x v="0"/>
  </r>
  <r>
    <n v="13977"/>
    <s v="LOJA BACABAL - MA"/>
    <s v="Sem supervisor"/>
    <x v="19"/>
    <s v="MAYARA NOVAIS LOPES"/>
    <x v="13"/>
    <s v="RUA CARLOS  SARDINHA 121"/>
    <s v="CENTRO"/>
    <s v="BACABAL"/>
    <s v="65700-000"/>
    <m/>
    <m/>
    <n v="3"/>
    <m/>
    <m/>
    <m/>
    <m/>
    <m/>
    <x v="0"/>
  </r>
  <r>
    <n v="7752"/>
    <s v="LOJA EUNAPOLIS - BA"/>
    <s v="Sem supervisor"/>
    <x v="26"/>
    <s v="CRISTIANE CARVALHO GEBELATTO"/>
    <x v="5"/>
    <s v="AV. DOM PEDRO II 438"/>
    <s v="CENTRO"/>
    <s v="EUNAPOLIS"/>
    <s v="45821-020"/>
    <m/>
    <m/>
    <n v="4"/>
    <m/>
    <m/>
    <m/>
    <m/>
    <m/>
    <x v="0"/>
  </r>
  <r>
    <n v="7751"/>
    <s v="LOJA ILHEUS - BA"/>
    <s v="Sem supervisor"/>
    <x v="26"/>
    <s v="CRISTIANE CARVALHO GEBELATTO"/>
    <x v="5"/>
    <s v="RUA EUSTAQUIO BASTOS 51 TERREO"/>
    <s v="CENTRO"/>
    <s v="ILHEUS"/>
    <s v="45653-020"/>
    <m/>
    <m/>
    <n v="4"/>
    <m/>
    <m/>
    <m/>
    <m/>
    <m/>
    <x v="0"/>
  </r>
  <r>
    <n v="7749"/>
    <s v="LOJA ITABUNA - BA"/>
    <s v="Sem supervisor"/>
    <x v="26"/>
    <s v="CRISTIANE CARVALHO GEBELATTO"/>
    <x v="5"/>
    <s v="RUA PAULINO VIEIRA 197, SALA 07"/>
    <s v="CENTRO"/>
    <s v="ITABUNA"/>
    <s v="45600-170"/>
    <m/>
    <m/>
    <n v="4"/>
    <m/>
    <m/>
    <m/>
    <m/>
    <m/>
    <x v="0"/>
  </r>
  <r>
    <n v="7750"/>
    <s v="LOJA PORTO SEGURO - BA"/>
    <s v="Sem supervisor"/>
    <x v="26"/>
    <s v="CRISTIANE CARVALHO GEBELATTO"/>
    <x v="5"/>
    <s v="RUA PERO VAZ DE CAMINHA 475"/>
    <s v="-"/>
    <s v="PORTO SEGURO"/>
    <s v="45810-000"/>
    <m/>
    <m/>
    <n v="4"/>
    <m/>
    <m/>
    <m/>
    <m/>
    <m/>
    <x v="0"/>
  </r>
  <r>
    <n v="7753"/>
    <s v="LOJA VITORIA DA CONQUISTA - BA"/>
    <s v="Sem supervisor"/>
    <x v="26"/>
    <s v="CRISTIANE CARVALHO GEBELATTO"/>
    <x v="5"/>
    <s v="RUA FRANCISCO SANTOS 240, LOJA  02"/>
    <s v="CENTRO"/>
    <s v="VITORIA DA CONQUISTA"/>
    <s v="45000-375"/>
    <m/>
    <m/>
    <n v="3"/>
    <m/>
    <m/>
    <m/>
    <m/>
    <m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">
  <r>
    <n v="20990"/>
    <s v="LOJA ARARANGUA -  SC"/>
    <s v="JESSICA DIAS ZUCHINALI SANTANA"/>
    <x v="0"/>
    <s v="ADRIELE DA SILVA SOUZA"/>
    <x v="0"/>
    <s v="RUA DR.VIRGULINO DE QUEIROZ, 215 SALA 2"/>
    <s v="CENTRO"/>
    <s v="ARARANGUA"/>
    <s v="88900-009"/>
    <m/>
    <n v="0"/>
    <n v="4"/>
    <s v="SIM"/>
    <s v="VERSÁTIL"/>
    <s v="BASE ÚNICA"/>
    <n v="726"/>
    <s v="LOJA ARARANGUA - SC"/>
    <x v="0"/>
  </r>
  <r>
    <n v="2222"/>
    <s v="LOJA BALNEARIO CAMBORIU - SC"/>
    <s v="ARISON SAM DE OLIVEIRA NEVES"/>
    <x v="0"/>
    <s v="ADRIELE DA SILVA SOUZA"/>
    <x v="0"/>
    <s v="RUA 900,  13"/>
    <s v="CENTRO"/>
    <s v="BALNEARIO CAMBORIU"/>
    <s v="88300-604"/>
    <m/>
    <n v="0"/>
    <n v="3"/>
    <s v="SIM"/>
    <s v="VERSÁTIL"/>
    <s v="BASE ÚNICA"/>
    <n v="777"/>
    <s v="LOJA BALNEARIO CAMBORIU - SC"/>
    <x v="0"/>
  </r>
  <r>
    <n v="2913"/>
    <s v="LOJA CHAPECO - SC"/>
    <s v="BRUNA KETLYN HELLGREN DE MOURA"/>
    <x v="0"/>
    <s v="ADRIELE DA SILVA SOUZA"/>
    <x v="0"/>
    <s v="AVENIDA FERNANDO MACHADO, 380 D, SALA 01, EDIFÍCIO"/>
    <s v="CENTRO"/>
    <s v="CHAPECO"/>
    <s v="89802-110"/>
    <d v="2020-09-14T00:00:00"/>
    <d v="2020-09-14T00:00:00"/>
    <n v="5"/>
    <s v="SIM"/>
    <s v="VERSÁTIL"/>
    <s v="BASE ÚNICA"/>
    <n v="744"/>
    <s v="LOJA CHAPECÓ - SC"/>
    <x v="0"/>
  </r>
  <r>
    <n v="20987"/>
    <s v="LOJA CRICIUMA - SC"/>
    <s v="JULIANA MARCELLO"/>
    <x v="0"/>
    <s v="ADRIELE DA SILVA SOUZA"/>
    <x v="0"/>
    <s v="SAO JOSE 135/07, B"/>
    <s v="CENTRO"/>
    <s v="CRICIUMA"/>
    <s v="88801-520"/>
    <m/>
    <n v="0"/>
    <n v="6"/>
    <s v="SIM"/>
    <s v="VERSÁTIL"/>
    <s v="BASE ÚNICA"/>
    <n v="727"/>
    <s v="LOJA CRICIUMA - SC"/>
    <x v="0"/>
  </r>
  <r>
    <n v="10331"/>
    <s v="LOJA ERECHIM - RS"/>
    <s v="MAGDA LUISA DA SILVA"/>
    <x v="1"/>
    <s v="ADRIELE DA SILVA SOUZA"/>
    <x v="1"/>
    <s v="AV. SETE DE SETEMBRO, Nº 483"/>
    <s v="CENTRO"/>
    <s v="ERECHIM"/>
    <s v="99700-000"/>
    <d v="2020-09-01T00:00:00"/>
    <d v="2020-09-01T00:00:00"/>
    <n v="4"/>
    <s v="SIM"/>
    <s v="VERSÁTIL"/>
    <s v="BASE ÚNICA"/>
    <n v="755"/>
    <s v="LOJA ERECHIM/RS"/>
    <x v="0"/>
  </r>
  <r>
    <n v="2802"/>
    <s v="LOJA FLORIANOPOLIS - SC"/>
    <s v="DAIANE DA SILVA SOARES"/>
    <x v="0"/>
    <s v="ADRIELE DA SILVA SOUZA"/>
    <x v="0"/>
    <s v="RUA DEODORO, 226 - SALA 101, EDIFÍCIO MARCO POLO"/>
    <s v="CENTRO"/>
    <s v="FLORIANOPOLIS"/>
    <s v="88010-020"/>
    <m/>
    <n v="0"/>
    <n v="5"/>
    <s v="SIM"/>
    <s v="VERSÁTIL"/>
    <s v="BASE ÚNICA"/>
    <n v="751"/>
    <s v="LOJA FLORIANOPOLIS - SC"/>
    <x v="0"/>
  </r>
  <r>
    <n v="200022"/>
    <s v="LOJA ITAJAI - SC"/>
    <s v="Sem supervisor"/>
    <x v="0"/>
    <s v="ADRIELE DA SILVA SOUZA"/>
    <x v="0"/>
    <s v="RUA GIL STEIN FERREIRA, 303, SALA 1"/>
    <s v="CENTRO"/>
    <s v="ITAJAI"/>
    <s v="88301-210"/>
    <d v="2022-02-11T00:00:00"/>
    <d v="2022-02-11T00:00:00"/>
    <n v="4"/>
    <s v="NÃO"/>
    <s v="SONAVOIP"/>
    <s v="SONAVOIP"/>
    <n v="890"/>
    <s v="LOJA ITAJAI"/>
    <x v="0"/>
  </r>
  <r>
    <n v="20959"/>
    <s v="LOJA JOINVILLE - SC"/>
    <s v="SAMARA CAROLINE FERREIRA"/>
    <x v="0"/>
    <s v="ADRIELE DA SILVA SOUZA"/>
    <x v="0"/>
    <s v="dona Francisca 114"/>
    <s v="CENTRO "/>
    <s v="JOINVILLE"/>
    <s v="89201-250"/>
    <m/>
    <n v="0"/>
    <n v="7"/>
    <s v="NÃO"/>
    <s v="VERSÁTIL"/>
    <s v="BASE ÚNICA"/>
    <n v="705"/>
    <s v="LOJA JOINVILLE - SC"/>
    <x v="0"/>
  </r>
  <r>
    <n v="2921"/>
    <s v="LOJA LAGUNA - SC"/>
    <s v="DAYANE MENDES LEONEL MARCELINO"/>
    <x v="0"/>
    <s v="ADRIELE DA SILVA SOUZA"/>
    <x v="0"/>
    <s v="AV ENGENHEIRO COLOMBO MACHADO SALES, N° 108"/>
    <s v="CENTRO"/>
    <s v="LAGUNA"/>
    <s v="88790-000"/>
    <d v="2020-10-05T00:00:00"/>
    <d v="2020-10-05T00:00:00"/>
    <n v="3"/>
    <s v="SIM"/>
    <s v="VERSÁTIL"/>
    <s v="BASE ÚNICA"/>
    <n v="811"/>
    <s v="LOJA LAGUNA - SC"/>
    <x v="0"/>
  </r>
  <r>
    <n v="2918"/>
    <s v="LOJA PALHOÇA - SC"/>
    <s v="LUCIENE DOS SANTOS CARLOS"/>
    <x v="0"/>
    <s v="ADRIELE DA SILVA SOUZA"/>
    <x v="0"/>
    <s v="AVENIDA BARÃO DO RIO BRANCO, Nº 56"/>
    <s v="CENTRO"/>
    <s v="PALHOCA"/>
    <s v="88130-101"/>
    <d v="2020-10-05T00:00:00"/>
    <d v="2020-10-05T00:00:00"/>
    <n v="5"/>
    <s v="SIM"/>
    <s v="VERSÁTIL"/>
    <s v="BASE ÚNICA"/>
    <n v="810"/>
    <s v="LOJA PALHOÇA - SC"/>
    <x v="0"/>
  </r>
  <r>
    <n v="2945"/>
    <s v="LOJA SAO JOSE - SC"/>
    <s v="GEISA PEREIRA DE SOUSA"/>
    <x v="0"/>
    <s v="ADRIELE DA SILVA SOUZA"/>
    <x v="0"/>
    <s v="RUA: DINARTE DOMINGUES,543 LOJA 07"/>
    <s v="CAMPINAS"/>
    <s v="SAO JOSE"/>
    <s v="88101-070"/>
    <m/>
    <n v="0"/>
    <n v="3"/>
    <s v="SIM"/>
    <s v="VERSÁTIL"/>
    <s v="BASE ÚNICA"/>
    <n v="849"/>
    <s v="LOJA SAO JOSE - SC"/>
    <x v="0"/>
  </r>
  <r>
    <n v="20989"/>
    <s v="LOJA TUBARÃO - SC"/>
    <s v="VANESSA ANDRADE LIMA DE SOUZA"/>
    <x v="0"/>
    <s v="ADRIELE DA SILVA SOUZA"/>
    <x v="0"/>
    <s v="AV RODOVALHO, 12 SALA 02"/>
    <s v="CENTRO"/>
    <s v="TUBARAO"/>
    <s v="88701-170"/>
    <m/>
    <n v="0"/>
    <n v="5"/>
    <s v="SIM"/>
    <s v="VERSÁTIL"/>
    <s v="BASE ÚNICA"/>
    <n v="728"/>
    <s v="LOJA TUBARAO - SC"/>
    <x v="0"/>
  </r>
  <r>
    <n v="10332"/>
    <s v="LOJA CARAZINHO - RS"/>
    <s v="ANDERSON SANDERSON TURELA"/>
    <x v="1"/>
    <s v="ADRIELE DA SILVA SOUZA"/>
    <x v="1"/>
    <s v="AV FLORES DA CUNHA, 1184 - SALA 101"/>
    <s v="CENTRO"/>
    <s v="CARAZINHO"/>
    <s v="99500-000"/>
    <d v="2020-09-01T00:00:00"/>
    <d v="2020-09-01T00:00:00"/>
    <n v="3"/>
    <s v="SIM"/>
    <s v="VERSÁTIL"/>
    <s v="BASE ÚNICA"/>
    <n v="756"/>
    <s v="LOJA CARAZINHO - RS"/>
    <x v="0"/>
  </r>
  <r>
    <n v="19715"/>
    <s v="LOJA CRUZ ALTA - RS"/>
    <s v="Sem supervisor"/>
    <x v="1"/>
    <s v="ADRIELE DA SILVA SOUZA"/>
    <x v="1"/>
    <s v="RUA PINHEIRO MACHADO 865, SL 1"/>
    <s v="CENTRO"/>
    <s v="CRUZ ALTA"/>
    <s v="98005-000"/>
    <m/>
    <n v="0"/>
    <n v="4"/>
    <s v="NÃO"/>
    <s v="VERSÁTIL"/>
    <s v="BASE ÚNICA"/>
    <n v="721"/>
    <s v="LOJA CRUZ ALTA"/>
    <x v="0"/>
  </r>
  <r>
    <n v="1423"/>
    <s v="LOJA IJUI 1 - RS"/>
    <s v="ALINE SAULIT DA SILVEIRA"/>
    <x v="2"/>
    <s v="ADRIELE DA SILVA SOUZA"/>
    <x v="1"/>
    <s v="RUA 15 DE NOVEMBRO, 217 - SALA 01"/>
    <s v="CENTRO"/>
    <s v="IJUI"/>
    <s v="98700-000"/>
    <m/>
    <n v="0"/>
    <n v="5"/>
    <s v="NÃO"/>
    <s v="VERSÁTIL"/>
    <s v="TRONCO"/>
    <n v="612"/>
    <s v="LOJA IJUI I/RS"/>
    <x v="0"/>
  </r>
  <r>
    <n v="19777"/>
    <s v="LOJA PASSO FUNDO - RS"/>
    <s v="TIEREN ROQUE IUNG"/>
    <x v="1"/>
    <s v="ADRIELE DA SILVA SOUZA"/>
    <x v="1"/>
    <s v="R. INDEPENDÊNCIA, 684 "/>
    <s v="CENTRO"/>
    <s v="PASSO FUNDO"/>
    <s v="99010-040"/>
    <m/>
    <n v="0"/>
    <n v="3"/>
    <s v="NÃO"/>
    <s v="VERSÁTIL"/>
    <s v="TRONCO"/>
    <n v="297"/>
    <s v="LOJA PASSO FUNDO - RS"/>
    <x v="0"/>
  </r>
  <r>
    <n v="10333"/>
    <s v="LOJA PASSO FUNDO 2 - RS"/>
    <s v="EDSON JOEL CAVALHEIRO"/>
    <x v="1"/>
    <s v="ADRIELE DA SILVA SOUZA"/>
    <x v="1"/>
    <s v="RUA CEL. CHICUTA, Nº 436, LOJA 8"/>
    <s v="CENTRO"/>
    <s v="PASSO FUNDO"/>
    <s v="99010-051"/>
    <d v="2020-09-08T00:00:00"/>
    <d v="2020-09-08T00:00:00"/>
    <n v="5"/>
    <s v="SIM"/>
    <s v="VERSÁTIL"/>
    <s v="TRONCO"/>
    <n v="809"/>
    <s v="LOJA PASSO FUNDO 2 - RS"/>
    <x v="0"/>
  </r>
  <r>
    <n v="10650"/>
    <s v="LOJA SANTA ROSA - RS"/>
    <s v="ANA PAULA BAGETI"/>
    <x v="2"/>
    <s v="ADRIELE DA SILVA SOUZA"/>
    <x v="1"/>
    <s v="RUA CRISTÓVÃO COLOMBO, 325 - LOJA 01"/>
    <s v="CENTRO"/>
    <s v="SANTA ROSA"/>
    <s v="98780-106"/>
    <m/>
    <n v="0"/>
    <n v="5"/>
    <s v="NÃO"/>
    <s v="VERSÁTIL"/>
    <s v="BASE ÚNICA"/>
    <n v="413"/>
    <s v="LOJA SANTA ROSA"/>
    <x v="0"/>
  </r>
  <r>
    <n v="19709"/>
    <s v="LOJA SANTO ÂNGELO - RS"/>
    <s v="LUCIMARA ROSALDA EICH"/>
    <x v="2"/>
    <s v="ADRIELE DA SILVA SOUZA"/>
    <x v="1"/>
    <s v="RUA 25 DE JULHO 584, SL 3"/>
    <s v="CENTRO"/>
    <s v="SANTO ANGELO"/>
    <s v="98801-670"/>
    <m/>
    <n v="0"/>
    <n v="5"/>
    <s v="NÃO"/>
    <s v="VERSÁTIL"/>
    <s v="BASE ÚNICA"/>
    <n v="717"/>
    <s v="LOJA SANTO ANGELO"/>
    <x v="0"/>
  </r>
  <r>
    <n v="19890"/>
    <s v="LOJA SOLEDADE - RS"/>
    <s v="Sem supervisor"/>
    <x v="1"/>
    <s v="ADRIELE DA SILVA SOUZA"/>
    <x v="1"/>
    <s v="AV MAL FLORIANO PEIXOTO, 1063"/>
    <s v="CENTRO"/>
    <s v="SOLEDADE"/>
    <s v="99300-000"/>
    <m/>
    <n v="0"/>
    <n v="4"/>
    <s v="NÃO"/>
    <s v="SONAVOIP"/>
    <s v="SONAVOIP"/>
    <n v="709"/>
    <s v="LOJA SOLEDADE"/>
    <x v="0"/>
  </r>
  <r>
    <n v="10201"/>
    <s v="LOJA ALEGRETE - RS"/>
    <s v="JESSICA RODRIGUES BENCKE GUTERRES"/>
    <x v="2"/>
    <s v="ADRIELE DA SILVA SOUZA"/>
    <x v="1"/>
    <s v="R VASCO ALVES, 184 - SALA 3"/>
    <s v="CENTRO"/>
    <s v="ALEGRETE"/>
    <s v="97542-600"/>
    <m/>
    <n v="0"/>
    <n v="4"/>
    <s v="NÃO"/>
    <s v="VERSÁTIL"/>
    <s v="BASE ÚNICA"/>
    <n v="729"/>
    <s v="LOJA ALEGRETE - RS"/>
    <x v="0"/>
  </r>
  <r>
    <n v="1407"/>
    <s v="LOJA CACHOEIRA DO SUL - RS"/>
    <s v="JESSICA DE ALMEIDA OLIVEIRA"/>
    <x v="1"/>
    <s v="ADRIELE DA SILVA SOUZA"/>
    <x v="1"/>
    <s v="SETE DE SETEMBRO, Nº 1438"/>
    <s v="CENTRO"/>
    <s v="CACHOEIRA DO SUL"/>
    <s v="96508-010"/>
    <m/>
    <n v="0"/>
    <n v="5"/>
    <s v="NÃO"/>
    <s v="VERSÁTIL"/>
    <s v="BASE ÚNICA"/>
    <n v="636"/>
    <s v="LOJA CACHOEIRA DO SUL/RS"/>
    <x v="0"/>
  </r>
  <r>
    <n v="10600"/>
    <s v="LOJA ITAQUI - RS"/>
    <s v="DEBORA MENDES DE FREITAS"/>
    <x v="2"/>
    <s v="ADRIELE DA SILVA SOUZA"/>
    <x v="1"/>
    <s v="RUA BORGES DO CANTO,  Nº 1056"/>
    <s v="CENTRO"/>
    <s v="ITAQUI"/>
    <s v="97650-000"/>
    <m/>
    <n v="0"/>
    <n v="3"/>
    <s v="NÃO"/>
    <s v="SONAVOIP"/>
    <s v="SONAVOIP"/>
    <n v="763"/>
    <s v="LOJA ITAQUI/RS"/>
    <x v="0"/>
  </r>
  <r>
    <n v="19710"/>
    <s v="LOJA ROSARIO DO SUL"/>
    <s v="SARA GRACIELE DE OLIVEIRA VELASQUES"/>
    <x v="2"/>
    <s v="ADRIELE DA SILVA SOUZA"/>
    <x v="1"/>
    <s v="RUA MARECHAL FLORIANO PEIXOTO 2401"/>
    <s v="CENTRO"/>
    <s v="ROSARIO DO SUL"/>
    <s v="97590-000"/>
    <m/>
    <n v="0"/>
    <n v="5"/>
    <s v="NÃO"/>
    <s v="SONAVOIP"/>
    <s v="SONAVOIP"/>
    <n v="718"/>
    <s v="LOJA ROSARIO DO SUL"/>
    <x v="0"/>
  </r>
  <r>
    <n v="1449"/>
    <s v="LOJA SANTA MARIA - RS"/>
    <s v="DEBORA LOPES FROHNHOFER"/>
    <x v="1"/>
    <s v="ADRIELE DA SILVA SOUZA"/>
    <x v="1"/>
    <s v="RUA VENANCIO AIRES, Nº 1745 -LOJA B"/>
    <s v="CENTRO"/>
    <s v="SANTA MARIA"/>
    <s v="97010-003"/>
    <m/>
    <n v="0"/>
    <n v="6"/>
    <s v="NÃO"/>
    <s v="VERSÁTIL"/>
    <s v="BASE ÚNICA"/>
    <n v="621"/>
    <s v="LOJA SANTA MARIA/RS"/>
    <x v="0"/>
  </r>
  <r>
    <n v="10604"/>
    <s v="LOJA SANTIAGO  - RS"/>
    <s v="FABIOLA DAL ROSSO"/>
    <x v="2"/>
    <s v="ADRIELE DA SILVA SOUZA"/>
    <x v="1"/>
    <s v="RUA PINHEIRO MACHADO, 2034"/>
    <s v="CENTRO"/>
    <s v="SANTIAGO"/>
    <s v="97700-215"/>
    <m/>
    <n v="0"/>
    <n v="4"/>
    <s v="NÃO"/>
    <s v="SONAVOIP"/>
    <s v="SONAVOIP"/>
    <n v="768"/>
    <s v="LOJA SANTIAGO II"/>
    <x v="0"/>
  </r>
  <r>
    <n v="10897"/>
    <s v="LOJA SAO BORJA - RS"/>
    <s v="SIDIANE FALCAO ARDAIS"/>
    <x v="2"/>
    <s v="ADRIELE DA SILVA SOUZA"/>
    <x v="1"/>
    <s v="RUA CANDIDO FALCÃO, Nº 1086"/>
    <s v="CENTRO"/>
    <s v="SAO BORJA"/>
    <s v="97670-000"/>
    <m/>
    <n v="0"/>
    <n v="4"/>
    <s v="NÃO"/>
    <s v="VERSÁTIL"/>
    <s v="BASE ÚNICA"/>
    <n v="734"/>
    <s v="LOJA SAO BORJA - RS"/>
    <x v="0"/>
  </r>
  <r>
    <n v="10330"/>
    <s v="LOJA SÃO GABRIEL - RS"/>
    <s v="JESSICA VENUTA DE RODRIGUES NEVES"/>
    <x v="2"/>
    <s v="ADRIELE DA SILVA SOUZA"/>
    <x v="1"/>
    <s v="CORONEL SEZEFREDO Nº 791"/>
    <s v="CENTRO"/>
    <s v="SAO GABRIEL"/>
    <s v="97300-222"/>
    <d v="2020-09-21T00:00:00"/>
    <d v="2020-09-21T00:00:00"/>
    <n v="3"/>
    <s v="NÃO"/>
    <s v="VERSÁTIL"/>
    <s v="BASE ÚNICA"/>
    <n v="760"/>
    <s v="LOJA SAO GABRIEL/RS"/>
    <x v="0"/>
  </r>
  <r>
    <n v="1485"/>
    <s v="LOJA URUGUAIANA - RS"/>
    <s v="ELIZANGELA DE OLIVEIRA WITT"/>
    <x v="2"/>
    <s v="ADRIELE DA SILVA SOUZA"/>
    <x v="1"/>
    <s v="SANTANA Nº 2800"/>
    <s v="CENTRO"/>
    <s v="URUGUAIANA"/>
    <s v="97501-504"/>
    <m/>
    <n v="0"/>
    <n v="5"/>
    <s v="NÃO"/>
    <s v="VERSÁTIL"/>
    <s v="BASE ÚNICA"/>
    <n v="190"/>
    <s v="LOJA URUGUAIANA/RS"/>
    <x v="0"/>
  </r>
  <r>
    <n v="1487"/>
    <s v="LOJA CAMPO BOM - RS"/>
    <s v="LEONARA FABRICIA DOS SANTOS"/>
    <x v="3"/>
    <s v="ADRIELE DA SILVA SOUZA"/>
    <x v="1"/>
    <s v="AV BRASIL 3054 SALA 3 A"/>
    <s v="CENTRO"/>
    <s v="CAMPO BOM"/>
    <s v="93700-000"/>
    <m/>
    <n v="0"/>
    <n v="4"/>
    <s v="NÃO"/>
    <s v="VERSÁTIL"/>
    <s v="BASE ÚNICA"/>
    <n v="189"/>
    <s v="LOJA CAMPO BOM/RS"/>
    <x v="0"/>
  </r>
  <r>
    <n v="1416"/>
    <s v="LOJA IGREJINHA - RS"/>
    <s v="JONAS DIAS DA SILVEIRA"/>
    <x v="3"/>
    <s v="ADRIELE DA SILVA SOUZA"/>
    <x v="1"/>
    <s v="RUA 1º DE JUNHO, 141 - SALA 01"/>
    <s v="CENTRO"/>
    <s v="IGREJINHA"/>
    <s v="95650-000"/>
    <m/>
    <n v="0"/>
    <n v="3"/>
    <s v="NÃO"/>
    <s v="SONAVOIP"/>
    <s v="SONAVOIP"/>
    <n v="631"/>
    <s v="LOJA IGREJINHA/RS"/>
    <x v="0"/>
  </r>
  <r>
    <n v="1500"/>
    <s v="LOJA PORTO ALEGRE - ASSIS BRASIL - RS"/>
    <s v="CASSIA DA SILVA SILVEIRA"/>
    <x v="3"/>
    <s v="ADRIELE DA SILVA SOUZA"/>
    <x v="1"/>
    <s v="AV. ASSIS BRASIL, 2654 - LOJA 07"/>
    <s v="CRISTO REDENTOR"/>
    <s v="PORTO ALEGRE"/>
    <s v="91060-290"/>
    <m/>
    <n v="0"/>
    <n v="5"/>
    <s v="NÃO"/>
    <s v="SONAVOIP"/>
    <s v="SONAVOIP"/>
    <n v="500"/>
    <s v="LOJA ASSIS BRASIL - RS"/>
    <x v="0"/>
  </r>
  <r>
    <n v="19778"/>
    <s v="LOJA PORTO ALEGRE - VIGARIO - RS"/>
    <s v="SHAIENE DA CRUZ XAVIER"/>
    <x v="3"/>
    <s v="ADRIELE DA SILVA SOUZA"/>
    <x v="1"/>
    <s v="VIGÁRIO JOSE INÁCIO, 258"/>
    <s v="CENTRO HISTÓRICO"/>
    <s v="PORTO ALEGRE"/>
    <s v="90020-100"/>
    <m/>
    <n v="0"/>
    <n v="10"/>
    <s v="NÃO"/>
    <s v="SONAVOIP"/>
    <s v="SONAVOIP"/>
    <n v="303"/>
    <s v="LOJA VIGARIO II"/>
    <x v="0"/>
  </r>
  <r>
    <n v="1424"/>
    <s v="LOJA ROLANTE - RS"/>
    <s v="DEBORA DAIANA MARTINI"/>
    <x v="3"/>
    <s v="ADRIELE DA SILVA SOUZA"/>
    <x v="1"/>
    <s v="AV. BORGES DE MEDEIROS, 1909"/>
    <s v="CENTRO"/>
    <s v="ROLANTE"/>
    <s v="95690-000"/>
    <m/>
    <n v="0"/>
    <n v="3"/>
    <s v="NÃO"/>
    <s v="SONAVOIP"/>
    <s v="SONAVOIP"/>
    <n v="424"/>
    <s v="LOJA ROLANTE/RS"/>
    <x v="0"/>
  </r>
  <r>
    <n v="1427"/>
    <s v="LOJA SANTO ANTONIO DA PATRULHA - RS"/>
    <s v="LUCAS GABRIEL FAGUNDES DE SOUZA DA SILVA"/>
    <x v="3"/>
    <s v="ADRIELE DA SILVA SOUZA"/>
    <x v="1"/>
    <s v="AV.PAULO MACIEL DE MORAES 1040"/>
    <s v="CENTRO"/>
    <s v="SANTO ANTONIO DA PATRULHA"/>
    <s v="95500-000"/>
    <m/>
    <n v="0"/>
    <n v="3"/>
    <s v="NÃO"/>
    <s v="SONAVOIP"/>
    <s v="SONAVOIP"/>
    <n v="624"/>
    <s v="LOJA SANTO ANTONIO DA PATRULHA/RS"/>
    <x v="0"/>
  </r>
  <r>
    <n v="1403"/>
    <s v="LOJA SAPIRANGA - RS"/>
    <s v="KAREN FRANCIELEN RODRIGUES JARDIM"/>
    <x v="3"/>
    <s v="ADRIELE DA SILVA SOUZA"/>
    <x v="1"/>
    <s v="AV VINTE DE SETEMBRO, 3801 SALA 06"/>
    <s v="CENTRO"/>
    <s v="SAPIRANGA"/>
    <s v="93800-238"/>
    <m/>
    <n v="0"/>
    <n v="3"/>
    <s v="NÃO"/>
    <s v="VERSÁTIL"/>
    <s v="BASE ÚNICA"/>
    <n v="407"/>
    <s v="LOJA SAPIRANGA/RS"/>
    <x v="0"/>
  </r>
  <r>
    <n v="1420"/>
    <s v="LOJA TAQUARA - RS"/>
    <s v="LUIZ HENRIQUE BRANDALIZE"/>
    <x v="3"/>
    <s v="ADRIELE DA SILVA SOUZA"/>
    <x v="1"/>
    <s v="RUA GUILHERME LAHN, 1282"/>
    <s v="CENTRO"/>
    <s v="TAQUARA"/>
    <s v="95600-104"/>
    <m/>
    <n v="0"/>
    <n v="5"/>
    <s v="NÃO"/>
    <s v="VERSÁTIL"/>
    <s v="BASE ÚNICA"/>
    <n v="614"/>
    <s v="LOJA TAQUARA/RS"/>
    <x v="0"/>
  </r>
  <r>
    <n v="1497"/>
    <s v="LOJA TORRES - RS"/>
    <s v="JULIE BARBOSA"/>
    <x v="3"/>
    <s v="ADRIELE DA SILVA SOUZA"/>
    <x v="1"/>
    <s v="XV DE NOVEMBRO 212 LOJA 01"/>
    <s v="CENTRO"/>
    <s v="TORRES"/>
    <s v="95560-000"/>
    <m/>
    <n v="0"/>
    <n v="3"/>
    <s v="SIM"/>
    <s v="SONAVOIP"/>
    <s v="SONAVOIP"/>
    <n v="723"/>
    <s v="LOJA TORRES - RS"/>
    <x v="0"/>
  </r>
  <r>
    <n v="1496"/>
    <s v="LOJA TRAMANDAI - RS"/>
    <s v="MIKE SANTOLIN DA SILVA"/>
    <x v="3"/>
    <s v="ADRIELE DA SILVA SOUZA"/>
    <x v="1"/>
    <s v="FERNANDES BASTOS 329 SALA 28 E 29"/>
    <s v="CENTRO"/>
    <s v="TRAMANDAI"/>
    <s v="95590-000"/>
    <m/>
    <n v="0"/>
    <n v="5"/>
    <s v="NÃO"/>
    <s v="SONAVOIP"/>
    <s v="SONAVOIP"/>
    <n v="724"/>
    <s v="LOJA TRAMANDAÍ"/>
    <x v="0"/>
  </r>
  <r>
    <n v="19714"/>
    <s v="LOJA TRES COROAS - RS"/>
    <s v="RAFAEL LEMOS"/>
    <x v="3"/>
    <s v="ADRIELE DA SILVA SOUZA"/>
    <x v="1"/>
    <s v="RUA MUNDO NOVO 188"/>
    <s v="CENTRO"/>
    <s v="TRES COROAS"/>
    <s v="95660-000"/>
    <m/>
    <n v="0"/>
    <n v="3"/>
    <s v="NÃO"/>
    <s v="SONAVOIP"/>
    <s v="SONAVOIP"/>
    <n v="720"/>
    <s v="LOJA TRES COROAS"/>
    <x v="0"/>
  </r>
  <r>
    <n v="1402"/>
    <s v="LOJA CANOAS - CENTRO - RS"/>
    <s v="MICHELE MARTINS DOS SANTOS"/>
    <x v="4"/>
    <s v="ADRIELE DA SILVA SOUZA"/>
    <x v="1"/>
    <s v="RUA TIRADENTES, 216 - LOJA 06"/>
    <s v="CENTRO"/>
    <s v="CANOAS"/>
    <s v="92010-260"/>
    <m/>
    <n v="0"/>
    <n v="6"/>
    <s v="NÃO"/>
    <s v="VERSÁTIL"/>
    <s v="TRONCO"/>
    <n v="402"/>
    <s v="LOJA CANOAS/RS"/>
    <x v="0"/>
  </r>
  <r>
    <n v="1458"/>
    <s v="LOJA CANOAS - GUAJUVIRAS - RS"/>
    <s v="FABIELI DE ARAUJO VIEIRA MARTINS"/>
    <x v="4"/>
    <s v="ADRIELE DA SILVA SOUZA"/>
    <x v="1"/>
    <s v="RUA BOQUEIRÃO Nº 706 SALA 02"/>
    <s v="GUAJUVIRAS"/>
    <s v="CANOAS"/>
    <s v="92032-420"/>
    <m/>
    <n v="0"/>
    <n v="4"/>
    <s v="NÃO"/>
    <s v="VERSÁTIL"/>
    <s v="TRONCO"/>
    <n v="284"/>
    <s v="LOJA CANOAS - GUAJUVIRAS/RS"/>
    <x v="0"/>
  </r>
  <r>
    <n v="1421"/>
    <s v="LOJA ESTEIO - RS"/>
    <s v="JIANINI DA SILVA MARIN"/>
    <x v="4"/>
    <s v="ADRIELE DA SILVA SOUZA"/>
    <x v="1"/>
    <s v="AV. PRESIDENTE VARGAS,2123"/>
    <s v="CENTRO"/>
    <s v="ESTEIO"/>
    <s v="93270-580"/>
    <m/>
    <n v="0"/>
    <n v="7"/>
    <s v="NÃO"/>
    <s v="VERSÁTIL"/>
    <s v="BASE ÚNICA"/>
    <n v="630"/>
    <s v="LOJA ESTEIO/RS"/>
    <x v="0"/>
  </r>
  <r>
    <n v="1476"/>
    <s v="LOJA NOVO HAMBURGO - RS"/>
    <s v="JESSICA LUANA SIQUEIRA COELHO"/>
    <x v="4"/>
    <s v="ADRIELE DA SILVA SOUZA"/>
    <x v="1"/>
    <s v="AV CALCADAO OSVALDO CRUZ, 127"/>
    <s v="CENTRO"/>
    <s v="NOVO HAMBURGO"/>
    <s v="93510-015"/>
    <m/>
    <n v="0"/>
    <n v="6"/>
    <s v="NÃO"/>
    <s v="VERSÁTIL"/>
    <s v="TRONCO"/>
    <n v="163"/>
    <s v="LOJA NOVO HAMBURGO/RS"/>
    <x v="0"/>
  </r>
  <r>
    <n v="10678"/>
    <s v="LOJA NOVO HAMBURGO 2 - RS"/>
    <s v="ALEX SANDER MAUZER MACEDO"/>
    <x v="4"/>
    <s v="ADRIELE DA SILVA SOUZA"/>
    <x v="1"/>
    <s v="RUA BENTO GONÇALVES, 2423, SALA 01"/>
    <s v="CENTRO"/>
    <s v="NOVO HAMBURGO"/>
    <s v="93510-000"/>
    <m/>
    <n v="0"/>
    <n v="5"/>
    <s v="NÃO"/>
    <s v="VERSÁTIL"/>
    <s v="TRONCO"/>
    <n v="780"/>
    <s v="LOJA NOVO HAMBURGO II/RS"/>
    <x v="0"/>
  </r>
  <r>
    <n v="1417"/>
    <s v="LOJA SAO LEOPOLDO - RS"/>
    <s v="FERNANDA COSTA DA ROCHA "/>
    <x v="4"/>
    <s v="ADRIELE DA SILVA SOUZA"/>
    <x v="1"/>
    <s v="RUA INDEPENDENCIA, 636 - LOJA 6"/>
    <s v="CENTRO"/>
    <s v="SAO LEOPOLDO"/>
    <s v="93010-002"/>
    <m/>
    <n v="0"/>
    <n v="5"/>
    <s v="NÃO"/>
    <s v="VERSÁTIL"/>
    <s v="TRONCO"/>
    <n v="417"/>
    <s v="LOJA SAO LEOPOLDO"/>
    <x v="0"/>
  </r>
  <r>
    <n v="10627"/>
    <s v="LOJA SAO LEOPOLDO II - RS"/>
    <s v="MARISANGELA SCHIEFELBEIN"/>
    <x v="4"/>
    <s v="ADRIELE DA SILVA SOUZA"/>
    <x v="1"/>
    <s v="RUA LINDOLFO COLLOR, Nº 789 SALA 1"/>
    <s v="CENTRO"/>
    <s v="SAO LEOPOLDO"/>
    <s v="93010-080"/>
    <m/>
    <n v="0"/>
    <n v="5"/>
    <s v="NÃO"/>
    <s v="VERSÁTIL"/>
    <s v="TRONCO"/>
    <n v="774"/>
    <s v="LOJA SAO LEOPOLDO II"/>
    <x v="0"/>
  </r>
  <r>
    <n v="1418"/>
    <s v="LOJA SAPUCAIA DO SUL I - RS"/>
    <s v="MAGLUSON SCHARDONG MATOZO"/>
    <x v="4"/>
    <s v="ADRIELE DA SILVA SOUZA"/>
    <x v="1"/>
    <s v="RUA: CEL. JOÃO CORRÊA, 23 LOJA 05"/>
    <s v="CENTRO"/>
    <s v="SAPUCAIA DO SUL"/>
    <s v="93220-100"/>
    <m/>
    <n v="0"/>
    <n v="6"/>
    <s v="NÃO"/>
    <s v="VERSÁTIL"/>
    <s v="TRONCO"/>
    <n v="418"/>
    <s v="LOJA SAPUCAIA DO SUL/RS"/>
    <x v="0"/>
  </r>
  <r>
    <n v="1419"/>
    <s v="LOJA SAPUCAIA DO SUL II - RS"/>
    <s v="BRUNA DE ARAUJO VIEIRA DA ROSA"/>
    <x v="4"/>
    <s v="ADRIELE DA SILVA SOUZA"/>
    <x v="1"/>
    <s v="AVENIDA SAPUCAIA, 2089 "/>
    <s v="CENTRO"/>
    <s v="SAPUCAIA DO SUL"/>
    <s v="93210-240"/>
    <m/>
    <n v="0"/>
    <n v="5"/>
    <s v="NÃO"/>
    <s v="VERSÁTIL"/>
    <s v="TRONCO"/>
    <n v="730"/>
    <s v="LOJA SAPUCAIA DO SUL II/RS"/>
    <x v="0"/>
  </r>
  <r>
    <n v="600076"/>
    <s v="LOJA DIADEMA - SP"/>
    <s v="JOSE ULISSES FELIX DA SILVA"/>
    <x v="5"/>
    <s v="CINARA REGINA KEMERICH"/>
    <x v="2"/>
    <s v="RUA NOSSA SENHORA DAS VITORIAS, 79"/>
    <s v="CENTRO"/>
    <s v="DIADEMA"/>
    <s v="09910-140"/>
    <d v="2022-03-28T00:00:00"/>
    <d v="2022-03-28T00:00:00"/>
    <n v="5"/>
    <s v="NÃO"/>
    <s v="SONAVOIP"/>
    <s v="SONAVOIP"/>
    <n v="468"/>
    <s v="LOJA DIADEMA - SP"/>
    <x v="0"/>
  </r>
  <r>
    <n v="600075"/>
    <s v="LOJA MAUA - SP"/>
    <s v="CINDY MAGALI DE SANTO DELGADO"/>
    <x v="5"/>
    <s v="CINARA REGINA KEMERICH"/>
    <x v="2"/>
    <s v="RUA RUI BARBOSA, 35"/>
    <s v="CENTRO"/>
    <s v="MAUA"/>
    <s v="09390-000"/>
    <d v="2022-04-11T00:00:00"/>
    <d v="2022-04-11T00:00:00"/>
    <n v="4"/>
    <s v="NÃO"/>
    <s v="SONAVOIP"/>
    <s v="SONAVOIP"/>
    <n v="466"/>
    <s v="LOJA MAUA - SP"/>
    <x v="0"/>
  </r>
  <r>
    <n v="600080"/>
    <s v="LOJA MOGI DAS CRUZES - SP"/>
    <s v="SIDNEY GOMES JUNIOR"/>
    <x v="6"/>
    <s v="CINARA REGINA KEMERICH"/>
    <x v="2"/>
    <s v="RUA JOSÉ BONIFACIO, 178"/>
    <s v="CENTRO"/>
    <s v="MOGI DAS CRUZES"/>
    <s v="08710-070"/>
    <d v="2022-04-04T00:00:00"/>
    <d v="2022-04-04T00:00:00"/>
    <n v="5"/>
    <s v="NÃO"/>
    <s v="SONAVOIP"/>
    <s v="SONAVOIP"/>
    <n v="886"/>
    <s v="LOJA MOGI DAS CRUZES"/>
    <x v="0"/>
  </r>
  <r>
    <n v="5503"/>
    <s v="LOJA PRAIA GRANDE - SP"/>
    <s v="LETICIA URBANO DE JESUS NEVES"/>
    <x v="5"/>
    <s v="CINARA REGINA KEMERICH"/>
    <x v="2"/>
    <s v="RUA DR VICENTE DE CARVALHO, 531 LOJA 4"/>
    <s v="OCIAN"/>
    <s v="PRAIA GRANDE"/>
    <s v="11704-300"/>
    <m/>
    <n v="0"/>
    <n v="3"/>
    <s v="NÃO"/>
    <s v="VERSÁTIL"/>
    <s v="BASE ÚNICA"/>
    <n v="81"/>
    <s v="LOJA PRAIA GRANDE/SP"/>
    <x v="0"/>
  </r>
  <r>
    <n v="600077"/>
    <s v="LOJA SANTO ANDRE - SP"/>
    <s v="ELAINE CRISTINA ALVES DA SILVA"/>
    <x v="5"/>
    <s v="CINARA REGINA KEMERICH"/>
    <x v="2"/>
    <s v="RUA CORONEL FRANCISCO AMARO, 267, SL 2 EDIF. FRANC"/>
    <s v="CENTRO"/>
    <s v="SANTO ANDRE"/>
    <s v="09020-250"/>
    <d v="2022-04-26T00:00:00"/>
    <d v="2022-04-26T00:00:00"/>
    <n v="6"/>
    <s v="NÃO"/>
    <s v="SONAVOIP"/>
    <s v="SONAVOIP"/>
    <n v="893"/>
    <s v="LOJA SANTO ANDRE - SP"/>
    <x v="0"/>
  </r>
  <r>
    <n v="50731"/>
    <s v="LOJA SANTOS - SP"/>
    <s v="SILVANA DE FATIMA CENCI"/>
    <x v="5"/>
    <s v="CINARA REGINA KEMERICH"/>
    <x v="2"/>
    <s v="RUA FREI GASPAR, 83"/>
    <s v="CENTRO"/>
    <s v="SANTOS"/>
    <s v="11010-090"/>
    <m/>
    <n v="0"/>
    <n v="5"/>
    <s v="NÃO"/>
    <s v="VERSÁTIL"/>
    <s v="BASE ÚNICA"/>
    <n v="291"/>
    <s v="LOJA SANTOS/SP"/>
    <x v="0"/>
  </r>
  <r>
    <n v="600078"/>
    <s v="LOJA SAO CAETANO - SP"/>
    <s v="JOAO GABRIEL SANTANA SANTOS"/>
    <x v="6"/>
    <s v="CINARA REGINA KEMERICH"/>
    <x v="2"/>
    <s v="RUA MANOEL COELHO, 325, LOJA 20"/>
    <s v="CENTRO"/>
    <s v="SAO CAETANO DO SUL"/>
    <s v="09510-110"/>
    <d v="2022-04-26T00:00:00"/>
    <d v="2022-04-26T00:00:00"/>
    <n v="4"/>
    <s v="NÃO"/>
    <s v="SONAVOIP"/>
    <s v="SONAVOIP"/>
    <n v="467"/>
    <s v="LOJA SAO CAETANO - SP"/>
    <x v="0"/>
  </r>
  <r>
    <n v="50400"/>
    <s v="LOJA SAO VICENTE - SP"/>
    <s v="DARLANE MACEDO FRAGA"/>
    <x v="5"/>
    <s v="CINARA REGINA KEMERICH"/>
    <x v="2"/>
    <s v="RUA JACOB EMERICK, 393 LOJA 2"/>
    <s v="CENTRO"/>
    <s v="SAO VICENTE"/>
    <s v="11310-010"/>
    <m/>
    <n v="0"/>
    <n v="7"/>
    <s v="NÃO"/>
    <s v="VERSÁTIL"/>
    <s v="BASE ÚNICA"/>
    <n v="275"/>
    <s v="LOJA SAO VICENTE/SP"/>
    <x v="0"/>
  </r>
  <r>
    <n v="600064"/>
    <s v="LOJA SUZANO SP"/>
    <s v="Sem supervisor"/>
    <x v="7"/>
    <s v="CINARA REGINA KEMERICH"/>
    <x v="2"/>
    <s v="RUA GERERAL FRANCISCO GLICERIO 950"/>
    <s v="CENTRO"/>
    <s v="SUZANO"/>
    <s v="08674-002"/>
    <d v="2021-12-14T00:00:00"/>
    <d v="2021-12-14T00:00:00"/>
    <n v="5"/>
    <s v="NÃO"/>
    <s v="VERSÁTIL"/>
    <s v="BASE ÚNICA"/>
    <n v="889"/>
    <s v="LOJA SUZANO"/>
    <x v="0"/>
  </r>
  <r>
    <n v="50809"/>
    <s v="LOJA ARARAQUARA - SP"/>
    <s v="KAREN GOMES DE OLIVEIRA"/>
    <x v="8"/>
    <s v="CINARA REGINA KEMERICH"/>
    <x v="2"/>
    <s v="AV.FEIJO Nº 336 "/>
    <s v="CENTRO"/>
    <s v="ARARAQUARA"/>
    <s v="14801-140"/>
    <m/>
    <n v="0"/>
    <n v="5"/>
    <s v="SIM"/>
    <s v="VERSÁTIL"/>
    <s v="BASE ÚNICA"/>
    <n v="308"/>
    <s v="LOJA ARARAQUARA - SP"/>
    <x v="0"/>
  </r>
  <r>
    <n v="54469"/>
    <s v="LOJA BARAO GERALDO - SP"/>
    <s v="HEVELINS CARVALHO DA SILVA"/>
    <x v="9"/>
    <s v="CINARA REGINA KEMERICH"/>
    <x v="2"/>
    <s v="Rua Horácio Leonardi 92"/>
    <s v="BARÃO GERALDO"/>
    <s v="CAMPINAS"/>
    <s v="13084-105"/>
    <d v="2022-04-04T00:00:00"/>
    <d v="2022-04-04T00:00:00"/>
    <n v="4"/>
    <s v="NÃO"/>
    <s v="SONAVOIP"/>
    <s v="SONAVOIP"/>
    <n v="483"/>
    <s v="LOJA CAMPINAS - BARAO GERALDO - SP"/>
    <x v="0"/>
  </r>
  <r>
    <n v="53556"/>
    <s v="LOJA BAURU - SP"/>
    <s v="NATALIA NOVELLI"/>
    <x v="8"/>
    <s v="CINARA REGINA KEMERICH"/>
    <x v="2"/>
    <s v="RUA TREZE DE MAIO, N 3-20 "/>
    <s v="CENTRO"/>
    <s v="BAURU"/>
    <s v="17010-230"/>
    <m/>
    <n v="0"/>
    <n v="6"/>
    <s v="NÃO"/>
    <s v="VERSÁTIL"/>
    <s v="BASE ÚNICA"/>
    <n v="197"/>
    <s v="LOJA BAURU - SP"/>
    <x v="0"/>
  </r>
  <r>
    <n v="5502"/>
    <s v="LOJA CAMPINAS - SP"/>
    <s v="Sem supervisor"/>
    <x v="9"/>
    <s v="CINARA REGINA KEMERICH"/>
    <x v="2"/>
    <s v="RUA JOSÉ PAULINO Nº 753"/>
    <s v="CENTRO"/>
    <s v="CAMPINAS"/>
    <s v="13013-001"/>
    <m/>
    <n v="0"/>
    <n v="5"/>
    <s v="SIM"/>
    <s v="VERSÁTIL"/>
    <s v="BASE ÚNICA"/>
    <n v="45"/>
    <s v="LOJA CAMPINAS/SP"/>
    <x v="0"/>
  </r>
  <r>
    <n v="54464"/>
    <s v="LOJA JAU - SP"/>
    <s v="LIDIA BRUNA AMADEU XAVIER"/>
    <x v="8"/>
    <s v="CINARA REGINA KEMERICH"/>
    <x v="2"/>
    <s v="LOURENÇO PRADO, Nº 236 "/>
    <s v="CENTRO"/>
    <s v="JAU"/>
    <s v="17201-000"/>
    <d v="2021-01-25T00:00:00"/>
    <d v="2021-01-25T00:00:00"/>
    <n v="4"/>
    <s v="NÃO"/>
    <s v="VERSÁTIL"/>
    <s v="BASE ÚNICA"/>
    <n v="829"/>
    <s v="LOJA JAU - SP"/>
    <x v="0"/>
  </r>
  <r>
    <n v="54465"/>
    <s v="LOJA LIMEIRA - SP"/>
    <s v="EVA MONICA RAFAELA ALVES"/>
    <x v="9"/>
    <s v="CINARA REGINA KEMERICH"/>
    <x v="2"/>
    <s v="PRAÇA TOLEDO BARROS, Nº 296"/>
    <s v="CENTRO"/>
    <s v="LIMEIRA"/>
    <s v="13480-008"/>
    <d v="2021-01-18T00:00:00"/>
    <d v="2021-01-18T00:00:00"/>
    <n v="4"/>
    <s v="SIM"/>
    <s v="VERSÁTIL"/>
    <s v="BASE ÚNICA"/>
    <n v="830"/>
    <s v="LOJA LIMEIRA - SP"/>
    <x v="0"/>
  </r>
  <r>
    <n v="54466"/>
    <s v="LOJA MARILIA - SP"/>
    <s v="Sem supervisor"/>
    <x v="8"/>
    <s v="CINARA REGINA KEMERICH"/>
    <x v="2"/>
    <s v="AV SAMPAIO VIDAL, Nº 851"/>
    <s v="CENTRO"/>
    <s v="MARILIA"/>
    <s v="17525-040"/>
    <d v="2021-01-18T00:00:00"/>
    <d v="2021-01-18T00:00:00"/>
    <n v="5"/>
    <s v="NÃO"/>
    <s v="VERSÁTIL"/>
    <s v="BASE ÚNICA"/>
    <n v="831"/>
    <s v="LOJA MARILIA - SP"/>
    <x v="0"/>
  </r>
  <r>
    <n v="54471"/>
    <s v="LOJA OURINHOS - SP"/>
    <s v="Sem supervisor"/>
    <x v="8"/>
    <s v="CINARA REGINA KEMERICH"/>
    <x v="2"/>
    <s v="AV. DOUTOR ALTINO ARANTES, 180"/>
    <s v="CENTRO"/>
    <s v="OURINHOS"/>
    <s v="19900-041"/>
    <d v="2021-02-15T00:00:00"/>
    <d v="2021-02-15T00:00:00"/>
    <n v="4"/>
    <s v="NÃO"/>
    <s v="VERSÁTIL"/>
    <s v="BASE ÚNICA"/>
    <n v="832"/>
    <s v="LOJA OURINHOS - SP"/>
    <x v="0"/>
  </r>
  <r>
    <n v="54444"/>
    <s v="LOJA PIRACICABA - SP"/>
    <s v="ROSEMEIRE GUERRERO NEVES"/>
    <x v="9"/>
    <s v="CINARA REGINA KEMERICH"/>
    <x v="2"/>
    <s v="PRAÇA JOSÉ BONIFÁCIO, 813"/>
    <s v="CENTRO"/>
    <s v="PIRACICABA"/>
    <s v="13400-340"/>
    <d v="2021-01-18T00:00:00"/>
    <d v="2021-01-18T00:00:00"/>
    <n v="5"/>
    <s v="SIM"/>
    <s v="VERSÁTIL"/>
    <s v="BASE ÚNICA"/>
    <n v="834"/>
    <s v="LOJA PIRACICABA - SP"/>
    <x v="0"/>
  </r>
  <r>
    <n v="50499"/>
    <s v="LOJA RIBEIRAO PRETO - SP"/>
    <s v="JEFERSON CARLOS BOA PIMENTA"/>
    <x v="8"/>
    <s v="CINARA REGINA KEMERICH"/>
    <x v="2"/>
    <s v="RUA AMADOR BUENO Nº 620"/>
    <s v="CENTRO"/>
    <s v="RIBEIRAO PRETO"/>
    <s v="14010-070"/>
    <m/>
    <n v="0"/>
    <n v="5"/>
    <s v="SIM"/>
    <s v="VERSÁTIL"/>
    <s v="BASE ÚNICA"/>
    <n v="289"/>
    <s v="LOJA RIBEIRAO PRETO/SP"/>
    <x v="0"/>
  </r>
  <r>
    <n v="54467"/>
    <s v="LOJA RIO CLARO - SP"/>
    <s v="THAINA MARCHI CONEJO"/>
    <x v="9"/>
    <s v="CINARA REGINA KEMERICH"/>
    <x v="2"/>
    <s v="Rua 04, 1143"/>
    <s v="CENTRO"/>
    <s v="RIO CLARO"/>
    <s v="13500-170"/>
    <d v="2021-01-18T00:00:00"/>
    <d v="2021-01-18T00:00:00"/>
    <n v="5"/>
    <s v="SIM"/>
    <s v="VERSÁTIL"/>
    <s v="BASE ÚNICA"/>
    <n v="835"/>
    <s v="LOJA RIO CLARO - SP"/>
    <x v="0"/>
  </r>
  <r>
    <n v="54468"/>
    <s v="LOJA SÃO CARLOS - SP"/>
    <s v="VITORIA FAION STETER"/>
    <x v="9"/>
    <s v="CINARA REGINA KEMERICH"/>
    <x v="2"/>
    <s v="AV SÃO CARLOS, Nº 1175"/>
    <s v="CENTRO"/>
    <s v="SAO CARLOS"/>
    <s v="13560-010"/>
    <d v="2021-02-01T00:00:00"/>
    <d v="2021-02-01T00:00:00"/>
    <n v="4"/>
    <s v="SIM"/>
    <s v="VERSÁTIL"/>
    <s v="BASE ÚNICA"/>
    <n v="837"/>
    <s v="LOJA SAO CARLOS - SP"/>
    <x v="0"/>
  </r>
  <r>
    <n v="50590"/>
    <s v="LOJA SAO JOSE DO RIO PRETO - SP"/>
    <s v="NORIVAL JUNIOR PIRRI"/>
    <x v="8"/>
    <s v="CINARA REGINA KEMERICH"/>
    <x v="2"/>
    <s v="GENERAL GLICÉRIO Nº 3181 "/>
    <s v="CENTRO"/>
    <s v="SAO JOSE DO RIO PRETO"/>
    <s v="15015-400"/>
    <m/>
    <n v="0"/>
    <n v="4"/>
    <s v="SIM"/>
    <s v="VERSÁTIL"/>
    <s v="BASE ÚNICA"/>
    <n v="290"/>
    <s v="LOJA SAO JOSE DO RIO PRETO/SP"/>
    <x v="0"/>
  </r>
  <r>
    <n v="50850"/>
    <s v="LOJA SUMARE - SP"/>
    <s v="Sem supervisor"/>
    <x v="9"/>
    <s v="CINARA REGINA KEMERICH"/>
    <x v="2"/>
    <s v="ANTONIO DO VALE MELLO Nº 658"/>
    <s v="CENTRO"/>
    <s v="SUMARE"/>
    <s v="13170-010"/>
    <m/>
    <n v="0"/>
    <n v="5"/>
    <s v="SIM"/>
    <s v="VERSÁTIL"/>
    <s v="BASE ÚNICA"/>
    <n v="445"/>
    <s v="LOJA SUMARE/SP"/>
    <x v="0"/>
  </r>
  <r>
    <n v="6000034"/>
    <s v="LOJA VALINHOS - SP"/>
    <s v="MYLENA CRISTINA PINHEIRO"/>
    <x v="9"/>
    <s v="CINARA REGINA KEMERICH"/>
    <x v="2"/>
    <s v="RUA TREZE DE MAIO, 155, SALA 01 E 03"/>
    <s v="CENTRO"/>
    <s v="VALINHOS"/>
    <s v="13270-020"/>
    <d v="2022-03-28T00:00:00"/>
    <d v="2022-03-28T00:00:00"/>
    <n v="4"/>
    <s v="NÃO"/>
    <s v="SONAVOIP"/>
    <s v="SONAVOIP"/>
    <n v="476"/>
    <s v="LOJA VALINHOS - SP"/>
    <x v="0"/>
  </r>
  <r>
    <n v="6000043"/>
    <s v="LOJA ARTHUR ALVIM - SP"/>
    <s v="CRISTIANE DE LATORRE JODAS"/>
    <x v="7"/>
    <s v="CINARA REGINA KEMERICH"/>
    <x v="2"/>
    <s v="RUA DOUTOR CAMPOS MOURA , 99 SALA 1"/>
    <s v="ARTHUR ALVIM "/>
    <s v="SAO PAULO"/>
    <s v="03568-010"/>
    <d v="2022-06-01T00:00:00"/>
    <d v="2022-06-01T00:00:00"/>
    <n v="4"/>
    <s v="NÃO"/>
    <s v="SONAVOIP"/>
    <s v="SONAVOIP"/>
    <n v="488"/>
    <s v="LOJA ARTHUR ALVIM - SP"/>
    <x v="0"/>
  </r>
  <r>
    <n v="5504"/>
    <s v="LOJA ITAQUAQUECETUBA - SP"/>
    <s v="FABIANA DO NASCIMENTO VIEIRA PRIMO"/>
    <x v="7"/>
    <s v="CINARA REGINA KEMERICH"/>
    <x v="2"/>
    <s v="RUA SEBASTIÃO FERREIRA DOS SANTOS Nº 102, SALA 04"/>
    <s v="CENTRO"/>
    <s v="ITAQUAQUECETUBA"/>
    <s v="08570-060"/>
    <m/>
    <n v="0"/>
    <n v="5"/>
    <s v="NÃO"/>
    <s v="VERSÁTIL"/>
    <s v="BASE ÚNICA"/>
    <n v="82"/>
    <s v="LOJA ITAQUAQUECETUBA/SP"/>
    <x v="0"/>
  </r>
  <r>
    <n v="5501"/>
    <s v="LOJA ITAQUERA - SP"/>
    <s v="CARLA ALVES ALBUQUERQUE CARNEIRO"/>
    <x v="7"/>
    <s v="CINARA REGINA KEMERICH"/>
    <x v="2"/>
    <s v="RUA GREGORIO RAMALHO, 71"/>
    <s v="ITAQUERA"/>
    <s v="SAO PAULO"/>
    <s v="08210-430"/>
    <m/>
    <n v="0"/>
    <n v="5"/>
    <s v="NÃO"/>
    <s v="VERSÁTIL"/>
    <s v="TRONCO"/>
    <n v="44"/>
    <s v="LOJA ITAQUERA/SP"/>
    <x v="0"/>
  </r>
  <r>
    <n v="6000036"/>
    <s v="LOJA MATEUS - SP"/>
    <s v="KAMILA TAUBALD"/>
    <x v="7"/>
    <s v="CINARA REGINA KEMERICH"/>
    <x v="2"/>
    <s v="AVENIDA MATEO BEI, 2541"/>
    <s v="SÃO MATEUS"/>
    <s v="SAO PAULO"/>
    <s v="03949-012"/>
    <d v="2022-04-04T00:00:00"/>
    <d v="2022-04-04T00:00:00"/>
    <n v="4"/>
    <s v="NÃO"/>
    <s v="SONAVOIP"/>
    <s v="SONAVOIP"/>
    <n v="479"/>
    <s v="LOJA SAO MATEUS - SP"/>
    <x v="0"/>
  </r>
  <r>
    <n v="6000040"/>
    <s v="LOJA SAO MIGUEL - SP"/>
    <s v="SIDNEY DOS SANTOS ROSA"/>
    <x v="7"/>
    <s v="CINARA REGINA KEMERICH"/>
    <x v="2"/>
    <s v="AV. MARECHAL TITO, 1000"/>
    <s v="SAO MIGUEL PAULISTA"/>
    <s v="SAO PAULO"/>
    <s v="08010-090"/>
    <d v="2022-04-27T00:00:00"/>
    <d v="2022-04-27T00:00:00"/>
    <n v="4"/>
    <s v="NÃO"/>
    <s v="SONAVOIP"/>
    <s v="SONAVOIP"/>
    <n v="478"/>
    <s v="LOJA SAO MIGUEL - SP"/>
    <x v="0"/>
  </r>
  <r>
    <n v="5506"/>
    <s v="LOJA SAO PAULO - PENHA - SP"/>
    <s v="NATALIA DE SOUZA"/>
    <x v="7"/>
    <s v="CINARA REGINA KEMERICH"/>
    <x v="2"/>
    <s v="RUA: PADRE JOÃO,  257"/>
    <s v="PENHA"/>
    <s v="SAO PAULO"/>
    <s v="03637-000"/>
    <m/>
    <n v="0"/>
    <n v="4"/>
    <s v="NÃO"/>
    <s v="VERSÁTIL"/>
    <s v="TRONCO"/>
    <n v="85"/>
    <s v="LOJA PENHA/SP"/>
    <x v="0"/>
  </r>
  <r>
    <n v="600081"/>
    <s v="LOJA TATUAPE - SP"/>
    <s v="JULIA DE ALMEIDA SILVA"/>
    <x v="7"/>
    <s v="CINARA REGINA KEMERICH"/>
    <x v="2"/>
    <s v="RUA TUIUTI, 2179"/>
    <s v="TATUAPE"/>
    <s v="SAO PAULO"/>
    <s v="03307-005"/>
    <d v="2022-04-04T00:00:00"/>
    <d v="2022-04-04T00:00:00"/>
    <n v="4"/>
    <s v="NÃO"/>
    <s v="SONAVOIP"/>
    <s v="SONAVOIP"/>
    <n v="473"/>
    <s v="LOJA TATUAPE - SP"/>
    <x v="0"/>
  </r>
  <r>
    <n v="31174"/>
    <s v="LOJA ALMIRANTE TAMANDARÉ - PR"/>
    <s v="ANA CAROLINA RIBEIRO"/>
    <x v="10"/>
    <s v="CINARA REGINA KEMERICH"/>
    <x v="3"/>
    <s v="AV. EMÍLIO JOHSON, Nº 174"/>
    <s v="VILA SANTA TEREZINHA"/>
    <s v="ALMIRANTE TAMANDARE"/>
    <s v="83501-000"/>
    <m/>
    <n v="0"/>
    <n v="4"/>
    <s v="NÃO"/>
    <s v="VERSÁTIL"/>
    <s v="BASE ÚNICA"/>
    <n v="735"/>
    <s v="LOJA ALMIRANTE TAMANDARE- PR"/>
    <x v="0"/>
  </r>
  <r>
    <n v="3802"/>
    <s v="LOJA CURITIBA - PR"/>
    <s v="IZABEL CRISTINA SILVEIRA"/>
    <x v="10"/>
    <s v="CINARA REGINA KEMERICH"/>
    <x v="3"/>
    <s v="RUA ANDRE DE BARROS Nº 205"/>
    <s v="CENTRO"/>
    <s v="CURITIBA"/>
    <s v="80010-080"/>
    <m/>
    <n v="0"/>
    <n v="6"/>
    <s v="NÃO"/>
    <s v="VERSÁTIL"/>
    <s v="BASE ÚNICA"/>
    <n v="133"/>
    <s v="LOJA CURITIBA/PR"/>
    <x v="0"/>
  </r>
  <r>
    <n v="3801"/>
    <s v="LOJA FAZENDA RIO GRANDE - PR"/>
    <s v="PEDRO HENRIQUE BATISTA DA COSTA"/>
    <x v="10"/>
    <s v="CINARA REGINA KEMERICH"/>
    <x v="3"/>
    <s v="RUA:CESAR CARELLI  Nº 151 SALA 1 "/>
    <s v="PIONEIROS"/>
    <s v="FAZENDA RIO GRANDE"/>
    <s v="83833-054"/>
    <m/>
    <n v="0"/>
    <n v="4"/>
    <s v="NÃO"/>
    <s v="VERSÁTIL"/>
    <s v="BASE ÚNICA"/>
    <n v="125"/>
    <s v="LOJA FAZENDA RIO GRANDE - PR"/>
    <x v="0"/>
  </r>
  <r>
    <n v="30110"/>
    <s v="LOJA PARANAGUA - PR"/>
    <s v="SUZIANNE FERNANDES DE MORAIS"/>
    <x v="10"/>
    <s v="CINARA REGINA KEMERICH"/>
    <x v="3"/>
    <s v="TRAVESSA NOVE DE AGOSTO Nº 13"/>
    <s v="CENTRO HISTORICO"/>
    <s v="PARANAGUA"/>
    <s v="83203-006"/>
    <m/>
    <n v="0"/>
    <n v="6"/>
    <s v="NÃO"/>
    <s v="VERSÁTIL"/>
    <s v="BASE ÚNICA"/>
    <n v="306"/>
    <s v="LOJA PARANAGUA/PR"/>
    <x v="0"/>
  </r>
  <r>
    <n v="31220"/>
    <s v="LOJA PONTA GROSSA - PR"/>
    <s v="CAMILA ANAIR MOREIRA"/>
    <x v="10"/>
    <s v="CINARA REGINA KEMERICH"/>
    <x v="3"/>
    <s v="RUA SANTOS DUMONT Nº 882."/>
    <s v="CENTRO"/>
    <s v="PONTA GROSSA"/>
    <s v="84010-360"/>
    <m/>
    <n v="0"/>
    <n v="5"/>
    <s v="NÃO"/>
    <s v="VERSÁTIL"/>
    <s v="BASE ÚNICA"/>
    <n v="741"/>
    <s v="LOJA PONTA GROSSA - PR"/>
    <x v="0"/>
  </r>
  <r>
    <n v="31175"/>
    <s v="LOJA SAO JOSÉ DOS PINHAIS"/>
    <s v="Sem supervisor"/>
    <x v="10"/>
    <s v="CINARA REGINA KEMERICH"/>
    <x v="3"/>
    <s v="RUA DR. MARCELINO NOGUEIRA 190"/>
    <s v="CENTRO"/>
    <s v="SAO JOSE DOS PINHAIS"/>
    <s v="83005-370"/>
    <m/>
    <n v="0"/>
    <n v="4"/>
    <s v="NÃO"/>
    <s v="VERSÁTIL"/>
    <s v="BASE ÚNICA"/>
    <n v="736"/>
    <s v="LOJA SAO JOSE DOS PINHAIS/PR"/>
    <x v="0"/>
  </r>
  <r>
    <n v="6000038"/>
    <s v="LOJA ATIBAIA - SP"/>
    <s v="EVELYN SUZAN CONCEICAO SENA"/>
    <x v="6"/>
    <s v="CINARA REGINA KEMERICH"/>
    <x v="2"/>
    <s v="RUA THOME FRANCO, 258"/>
    <s v="CENTRO"/>
    <s v="ATIBAIA"/>
    <s v="12940-680"/>
    <d v="2022-05-10T00:00:00"/>
    <d v="2022-05-10T00:00:00"/>
    <n v="4"/>
    <s v="SIM"/>
    <s v="SONAVOIP"/>
    <s v="SONAVOIP"/>
    <n v="480"/>
    <s v="LOJA ATIBAIA - SP"/>
    <x v="0"/>
  </r>
  <r>
    <n v="6000045"/>
    <s v="LOJA FRANCISCO MORATO - SP"/>
    <s v="PATRICIA GOMES JEREMIAS"/>
    <x v="6"/>
    <s v="CINARA REGINA KEMERICH"/>
    <x v="2"/>
    <s v="RUA JOAO MENDES JUNIOR 63 SALA 05"/>
    <s v="CENTRO"/>
    <s v="SAO PAULO"/>
    <s v="07910-210"/>
    <d v="2022-08-16T00:00:00"/>
    <m/>
    <n v="4"/>
    <m/>
    <s v="VERSÁTIL"/>
    <s v="BASE ÚNICA"/>
    <n v="482"/>
    <s v="LOJA FRANCISCO MORATO - SP"/>
    <x v="0"/>
  </r>
  <r>
    <n v="600079"/>
    <s v="LOJA FRANCO DA ROCHA - SP"/>
    <s v="CARLOS ALBERTO PIRANI JUNIOR"/>
    <x v="6"/>
    <s v="CINARA REGINA KEMERICH"/>
    <x v="2"/>
    <s v="RUA AZEVEDO SOARES, 184, SALA 4"/>
    <s v="CENTRO"/>
    <s v="FRANCO DA ROCHA"/>
    <s v="07851-010"/>
    <d v="2022-04-26T00:00:00"/>
    <d v="2022-04-26T00:00:00"/>
    <n v="4"/>
    <s v="NÃO"/>
    <s v="SONAVOIP"/>
    <s v="SONAVOIP"/>
    <n v="471"/>
    <s v="LOJA FRANCO DA ROCHA - SP"/>
    <x v="0"/>
  </r>
  <r>
    <n v="50734"/>
    <s v="LOJA GUARULHOS - SP"/>
    <s v="MIRIAM DE SALLES BARBIERI"/>
    <x v="7"/>
    <s v="CINARA REGINA KEMERICH"/>
    <x v="2"/>
    <s v="RUA OSWALDO CRUZ, 36"/>
    <s v="CENTRO"/>
    <s v="GUARULHOS"/>
    <s v="07010-020"/>
    <m/>
    <n v="0"/>
    <n v="5"/>
    <s v="NÃO"/>
    <s v="VERSÁTIL"/>
    <s v="TRONCO"/>
    <n v="681"/>
    <s v="LOJA GUARULHOS/SP"/>
    <x v="0"/>
  </r>
  <r>
    <n v="54512"/>
    <s v="LOJA JUNDIAI - SP"/>
    <s v="NICOLE CRISTINA MENDES"/>
    <x v="6"/>
    <s v="CINARA REGINA KEMERICH"/>
    <x v="2"/>
    <s v="RUA VIGARIO JOAO JOSE RODRIGUES 969"/>
    <s v="CENTRO"/>
    <s v="JUNDIAI"/>
    <s v="13201-001"/>
    <d v="2021-04-05T00:00:00"/>
    <d v="2021-04-05T00:00:00"/>
    <n v="5"/>
    <s v="SIM"/>
    <s v="VERSÁTIL"/>
    <s v="BASE ÚNICA"/>
    <n v="850"/>
    <s v="LOJA JUNDIAÍ - SP"/>
    <x v="0"/>
  </r>
  <r>
    <n v="50550"/>
    <s v="LOJA OSASCO - SP"/>
    <s v="ANDRESSA CRISTINA FERREIRA DA SILVA DE SOUZA"/>
    <x v="6"/>
    <s v="CINARA REGINA KEMERICH"/>
    <x v="2"/>
    <s v="R  PRIMITIVA VIANCO , 657"/>
    <s v="CENTRO"/>
    <s v="OSASCO"/>
    <s v="06016-008"/>
    <m/>
    <n v="0"/>
    <n v="6"/>
    <s v="NÃO"/>
    <s v="VERSÁTIL"/>
    <s v="BASE ÚNICA"/>
    <n v="675"/>
    <s v="LOJA OSASCO/SP"/>
    <x v="0"/>
  </r>
  <r>
    <n v="52012"/>
    <s v="LOJA SAO BENTO - SP"/>
    <s v="INDIAMARA CAMARGO DE PAULA"/>
    <x v="6"/>
    <s v="CINARA REGINA KEMERICH"/>
    <x v="2"/>
    <s v="RUA SÃO BENTO 315, LJ 17"/>
    <s v="CENTRO"/>
    <s v="SAO PAULO"/>
    <s v="01010-000"/>
    <m/>
    <n v="0"/>
    <n v="4"/>
    <s v="NÃO"/>
    <s v="VERSÁTIL"/>
    <s v="TRONCO"/>
    <n v="702"/>
    <s v="LOJA SAO BENTO/SP"/>
    <x v="0"/>
  </r>
  <r>
    <n v="6000033"/>
    <s v="LOJA SAO ROQUE - SP"/>
    <s v="CLEONICE VIANA DE JESUS"/>
    <x v="6"/>
    <s v="CINARA REGINA KEMERICH"/>
    <x v="2"/>
    <s v="RUA PADRE MARÇAL, 55"/>
    <s v="CENTRO"/>
    <s v="SAO ROQUE"/>
    <s v="18130-100"/>
    <d v="2022-05-10T00:00:00"/>
    <d v="2022-05-10T00:00:00"/>
    <n v="3"/>
    <s v="NÃO"/>
    <s v="SONAVOIP"/>
    <s v="SONAVOIP"/>
    <n v="474"/>
    <s v="LOJA SAO ROQUE - SP"/>
    <x v="0"/>
  </r>
  <r>
    <n v="600055"/>
    <s v="LOJA TERMINAL PIMENTAS - SP"/>
    <s v="KAIQUE FERNANDO GRANUCCI"/>
    <x v="7"/>
    <s v="CINARA REGINA KEMERICH"/>
    <x v="2"/>
    <s v="EST. PRESIDENTE JUSCELINO KUBITSCHEK DE OLIVEIRA"/>
    <s v="JARDIM ALBERTINA"/>
    <s v="GUARULHOS"/>
    <s v="07252-000"/>
    <d v="2022-01-18T00:00:00"/>
    <d v="2022-01-18T00:00:00"/>
    <n v="3"/>
    <s v="NÃO"/>
    <s v="VERSÁTIL"/>
    <s v="TRONCO"/>
    <n v="887"/>
    <s v="LOJA GUARULHOS PIMENTAS"/>
    <x v="0"/>
  </r>
  <r>
    <n v="1435"/>
    <s v="LOJA BUTIA - RS"/>
    <s v="PATRICIA IGNACIO ANTUNES"/>
    <x v="11"/>
    <s v="ADRIELE DA SILVA SOUZA"/>
    <x v="1"/>
    <s v="AV. LEANDRO DE ALMEIDA, 622"/>
    <s v="CENTRO"/>
    <s v="BUTIA"/>
    <s v="96750-000"/>
    <m/>
    <n v="0"/>
    <n v="3"/>
    <s v="NÃO"/>
    <s v="SONAVOIP"/>
    <s v="SONAVOIP"/>
    <n v="110"/>
    <s v="LOJA BUTIA/RS"/>
    <x v="0"/>
  </r>
  <r>
    <n v="1434"/>
    <s v="LOJA CACHOEIRINHA - RS"/>
    <s v="PATRICIA SOARES DE OLIVEIRA "/>
    <x v="11"/>
    <s v="ADRIELE DA SILVA SOUZA"/>
    <x v="1"/>
    <s v="R EURIPEDES AURELIO DA SILVA, 12 - LJ 04"/>
    <s v="CENTRO"/>
    <s v="CACHOEIRINHA"/>
    <s v="94920-250"/>
    <m/>
    <n v="0"/>
    <n v="5"/>
    <s v="NÃO"/>
    <s v="VERSÁTIL"/>
    <s v="BASE ÚNICA"/>
    <n v="609"/>
    <s v="LOJA CACHOEIRINHA/RS"/>
    <x v="0"/>
  </r>
  <r>
    <n v="19901"/>
    <s v="LOJA CHARQUEADAS - RS"/>
    <s v="FRANCINE ANSELMO RUDEK"/>
    <x v="11"/>
    <s v="ADRIELE DA SILVA SOUZA"/>
    <x v="1"/>
    <s v="AV. DR JOSE ATHANÁSIO, 129 SALA A"/>
    <s v="CENTRO"/>
    <s v="CHARQUEADAS"/>
    <s v="96745-000"/>
    <m/>
    <n v="0"/>
    <n v="3"/>
    <s v="NÃO"/>
    <s v="SONAVOIP"/>
    <s v="SONAVOIP"/>
    <n v="704"/>
    <s v="LOJA CHARQUEADAS/RS"/>
    <x v="0"/>
  </r>
  <r>
    <n v="1432"/>
    <s v="LOJA GRAVATAI - RS"/>
    <s v="KAMILA TARIGA DE MATTOS"/>
    <x v="11"/>
    <s v="ADRIELE DA SILVA SOUZA"/>
    <x v="1"/>
    <s v="RUA CORONEL FONSECA, 772"/>
    <s v="CENTRO"/>
    <s v="GRAVATAI"/>
    <s v="94010-190"/>
    <m/>
    <n v="0"/>
    <n v="5"/>
    <s v="NÃO"/>
    <s v="VERSÁTIL"/>
    <s v="BASE ÚNICA"/>
    <n v="86"/>
    <s v="LOJA GRAVATAI"/>
    <x v="0"/>
  </r>
  <r>
    <n v="1405"/>
    <s v="LOJA GUAIBA - RS"/>
    <s v="ALEXANDRE PRADO BARBOSA"/>
    <x v="3"/>
    <s v="ADRIELE DA SILVA SOUZA"/>
    <x v="1"/>
    <s v="RUA CONEGO SCHERER, 556"/>
    <s v="CENTRO"/>
    <s v="GUAIBA"/>
    <s v="92704-560"/>
    <m/>
    <n v="0"/>
    <n v="4"/>
    <s v="NÃO"/>
    <s v="VERSÁTIL"/>
    <s v="BASE ÚNICA"/>
    <n v="620"/>
    <s v="LOJA GUAIBA/RS"/>
    <x v="0"/>
  </r>
  <r>
    <n v="1409"/>
    <s v="LOJA PORTO ALEGRE - AZENHA - RS"/>
    <s v="BRUNA PIRES AZEREDO"/>
    <x v="11"/>
    <s v="ADRIELE DA SILVA SOUZA"/>
    <x v="1"/>
    <s v="AV. AZENHA, 581"/>
    <s v="AZENHA"/>
    <s v="PORTO ALEGRE"/>
    <s v="90160-001"/>
    <m/>
    <n v="0"/>
    <n v="7"/>
    <s v="NÃO"/>
    <s v="VERSÁTIL"/>
    <s v="TRONCO"/>
    <n v="409"/>
    <s v="LOJA AZENHA - RS"/>
    <x v="0"/>
  </r>
  <r>
    <n v="1400"/>
    <s v="LOJA PORTO ALEGRE - BORGES - RS"/>
    <s v="CINTIA POSSAMAI DA SILVA"/>
    <x v="11"/>
    <s v="ADRIELE DA SILVA SOUZA"/>
    <x v="1"/>
    <s v="AV. BORGES DE MEDEIROS, 410 "/>
    <s v="CENTRO"/>
    <s v="PORTO ALEGRE"/>
    <s v="90020-022"/>
    <m/>
    <n v="0"/>
    <n v="9"/>
    <s v="NÃO"/>
    <s v="VERSÁTIL"/>
    <s v="TRONCO"/>
    <n v="400"/>
    <s v="LOJA BORGES - RS"/>
    <x v="0"/>
  </r>
  <r>
    <n v="1401"/>
    <s v="LOJA PORTO ALEGRE - OSVALDO ARANHA I - RS"/>
    <s v="JESSICA FERREIRA ANTUNES"/>
    <x v="11"/>
    <s v="ADRIELE DA SILVA SOUZA"/>
    <x v="1"/>
    <s v="AV OSVALDO ARANHA, 1394 "/>
    <s v="BOM FIM"/>
    <s v="PORTO ALEGRE"/>
    <s v="90035-191"/>
    <m/>
    <n v="0"/>
    <n v="4"/>
    <s v="NÃO"/>
    <s v="VERSÁTIL"/>
    <s v="TRONCO"/>
    <m/>
    <m/>
    <x v="0"/>
  </r>
  <r>
    <n v="10226"/>
    <s v="LOJA SALGADO FILHO - RS"/>
    <s v="FERNANDA RODRIGUES SOARES"/>
    <x v="11"/>
    <s v="ADRIELE DA SILVA SOUZA"/>
    <x v="1"/>
    <s v="AV. SENADOR SALGADO FILHO 208"/>
    <s v="CENTRO"/>
    <s v="PORTO ALEGRE"/>
    <s v="90010-220"/>
    <m/>
    <n v="0"/>
    <n v="5"/>
    <s v="NÃO"/>
    <s v="VERSÁTIL"/>
    <s v="TRONCO"/>
    <n v="801"/>
    <s v="LOJA SALGADO FILHO/RS"/>
    <x v="0"/>
  </r>
  <r>
    <n v="1444"/>
    <s v="LOJA SAO JERONIMO - RS"/>
    <s v="CAROLINE VENTURINI"/>
    <x v="11"/>
    <s v="ADRIELE DA SILVA SOUZA"/>
    <x v="1"/>
    <s v="RUA OSVALDO ARANHA, 65"/>
    <s v="CENTRO"/>
    <s v="SAO JERONIMO"/>
    <s v="96700-000"/>
    <m/>
    <n v="0"/>
    <n v="4"/>
    <s v="NÃO"/>
    <s v="SONAVOIP"/>
    <s v="SONAVOIP"/>
    <n v="157"/>
    <s v="LOJA SAO JERONIMO/RS"/>
    <x v="0"/>
  </r>
  <r>
    <n v="1453"/>
    <s v="LOJA BENTO GONCALVES - RS"/>
    <s v="SARA LETICIA FREITAS RODRIGUES PIEDADE"/>
    <x v="4"/>
    <s v="ADRIELE DA SILVA SOUZA"/>
    <x v="1"/>
    <s v="RUA GENERAL GOMES CARNEIRO, 83 - LOJA 5"/>
    <s v="CENTRO"/>
    <s v="BENTO GONCALVES"/>
    <s v="95700-172"/>
    <m/>
    <n v="0"/>
    <n v="5"/>
    <s v="NÃO"/>
    <s v="VERSÁTIL"/>
    <s v="BASE ÚNICA"/>
    <n v="136"/>
    <s v="LOJA BENTO GONÇALVES - RS"/>
    <x v="0"/>
  </r>
  <r>
    <n v="1443"/>
    <s v="LOJA CAXIAS DO SUL - RS"/>
    <s v="BRUNA OLIVEIRA FERREIRA"/>
    <x v="4"/>
    <s v="ADRIELE DA SILVA SOUZA"/>
    <x v="1"/>
    <s v="RUA BENTO GONÇALVES, 1967 LJ 5 EDIFÍCIO C. PRESIDE"/>
    <s v="CENTRO"/>
    <s v="CAXIAS DO SUL"/>
    <s v="95020-412"/>
    <m/>
    <n v="0"/>
    <n v="7"/>
    <s v="NÃO"/>
    <s v="VERSÁTIL"/>
    <s v="BASE ÚNICA"/>
    <n v="404"/>
    <s v="LOJA CAXIAS DO SUL/RS"/>
    <x v="0"/>
  </r>
  <r>
    <n v="19701"/>
    <s v="LOJA LAJEADO - RS"/>
    <s v="PEDRO SEVERO DOS SANTOS"/>
    <x v="1"/>
    <s v="ADRIELE DA SILVA SOUZA"/>
    <x v="1"/>
    <s v="RUA FRANCISCO OSCAR KARNAL - Nº 333 LOJA 103"/>
    <s v="CENTRO"/>
    <s v="LAJEADO"/>
    <s v="95900-180"/>
    <m/>
    <n v="0"/>
    <n v="4"/>
    <s v="NÃO"/>
    <s v="VERSÁTIL"/>
    <s v="BASE ÚNICA"/>
    <n v="712"/>
    <s v="LOJA LAJEADO"/>
    <x v="0"/>
  </r>
  <r>
    <n v="1437"/>
    <s v="LOJA MONTENEGRO - RS"/>
    <s v="BETINA INES SCHAEFER"/>
    <x v="4"/>
    <s v="ADRIELE DA SILVA SOUZA"/>
    <x v="1"/>
    <s v="AV.RAMIRO BARCELOS Nº 1545 - SL 104"/>
    <s v="CENTRO"/>
    <s v="MONTENEGRO"/>
    <s v="95780-000"/>
    <m/>
    <n v="0"/>
    <n v="5"/>
    <s v="NÃO"/>
    <s v="VERSÁTIL"/>
    <s v="BASE ÚNICA"/>
    <n v="115"/>
    <s v="LOJA MONTENEGRO/RS"/>
    <x v="0"/>
  </r>
  <r>
    <n v="1439"/>
    <s v="LOJA PORTAO - RS"/>
    <s v="PAULO RICARDO PINTO JUNIOR"/>
    <x v="4"/>
    <s v="ADRIELE DA SILVA SOUZA"/>
    <x v="1"/>
    <s v="ROD RS 240 , 3526 - SL 05 (RODOCENTER) "/>
    <s v="CENTRO"/>
    <s v="PORTAO"/>
    <s v="93180-000"/>
    <m/>
    <n v="0"/>
    <n v="3"/>
    <s v="NÃO"/>
    <s v="SONAVOIP"/>
    <s v="SONAVOIP"/>
    <n v="112"/>
    <s v="LOJA PORTAO/RS"/>
    <x v="0"/>
  </r>
  <r>
    <n v="601055"/>
    <s v="LOJA PORTO ALEGRE - CRISTOVAO COLOMBO - RS"/>
    <s v="MAIHARA FONTOURA VIEIRA"/>
    <x v="11"/>
    <s v="ADRIELE DA SILVA SOUZA"/>
    <x v="1"/>
    <s v="AV. CRISTÓVÃO COLOMBO, 1320"/>
    <s v="FLORESTA "/>
    <s v="PORTO ALEGRE"/>
    <s v="90560-002"/>
    <d v="2021-11-24T00:00:00"/>
    <d v="2021-11-24T00:00:00"/>
    <n v="5"/>
    <s v="NÃO"/>
    <s v="VERSÁTIL"/>
    <s v="TRONCO"/>
    <n v="462"/>
    <s v="LOJA PORTO ALEGRE - CRISTOVAO COLOMBO"/>
    <x v="0"/>
  </r>
  <r>
    <n v="601050"/>
    <s v="LOJA PORTO ALEGRE ASSIS BRASIL III - RS"/>
    <s v="GRASIELA PEREIRA SANTIAGO DIAS"/>
    <x v="3"/>
    <s v="ADRIELE DA SILVA SOUZA"/>
    <x v="1"/>
    <s v="AV.ASSIS BRASIL, 308"/>
    <s v="SÃO JOAO"/>
    <s v="PORTO ALEGRE"/>
    <s v="91010-000"/>
    <d v="2021-12-01T00:00:00"/>
    <d v="2021-12-01T00:00:00"/>
    <n v="5"/>
    <s v="NÃO"/>
    <s v="VERSÁTIL"/>
    <s v="TRONCO"/>
    <n v="876"/>
    <s v="LOJA ASSIS BRASIL III - RS"/>
    <x v="0"/>
  </r>
  <r>
    <n v="601057"/>
    <s v="LOJA PROTASIO ALVES - RS"/>
    <s v="EDUARDA VENTURA BOGADO"/>
    <x v="11"/>
    <s v="ADRIELE DA SILVA SOUZA"/>
    <x v="1"/>
    <s v="AV. PROTASIO ALVES, 2492"/>
    <s v="PETROPOLIS"/>
    <s v="PORTO ALEGRE"/>
    <s v="90410-006"/>
    <d v="2022-02-25T00:00:00"/>
    <d v="2022-02-25T00:00:00"/>
    <n v="7"/>
    <s v="NÃO"/>
    <s v="SONAVOIP"/>
    <s v="SONAVOIP"/>
    <n v="472"/>
    <s v="LOJA PROTASIO ALVES - RS"/>
    <x v="0"/>
  </r>
  <r>
    <n v="19880"/>
    <s v="LOJA SANTA CRUZ DO SUL - RS"/>
    <s v="ARIADNE DE SENNA POLTOZI"/>
    <x v="1"/>
    <s v="ADRIELE DA SILVA SOUZA"/>
    <x v="1"/>
    <s v="Rua Tenente Coronel Brito,719"/>
    <s v="CENTRO"/>
    <s v="SANTA CRUZ DO SUL"/>
    <s v="96810-114"/>
    <m/>
    <n v="0"/>
    <n v="4"/>
    <s v="NÃO"/>
    <s v="VERSÁTIL"/>
    <s v="BASE ÚNICA"/>
    <n v="710"/>
    <s v="LOJA SANTA CRUZ DO SUL"/>
    <x v="0"/>
  </r>
  <r>
    <n v="19705"/>
    <s v="LOJA VENANCIO AIRES - RS"/>
    <s v="DANIELE CRISTINE ROSA"/>
    <x v="1"/>
    <s v="ADRIELE DA SILVA SOUZA"/>
    <x v="1"/>
    <s v="RUA OSVALDO ARANHA, 1268"/>
    <s v="CENTRO"/>
    <s v="VENANCIO AIRES"/>
    <s v="95800-000"/>
    <m/>
    <n v="0"/>
    <n v="3"/>
    <s v="NÃO"/>
    <s v="VERSÁTIL"/>
    <s v="BASE ÚNICA"/>
    <n v="713"/>
    <s v="LOJA VENANCIO AIRES"/>
    <x v="0"/>
  </r>
  <r>
    <n v="1414"/>
    <s v="LOJA VIAMAO - RS"/>
    <s v="VIVIAN AZAMBUJA CARNEIRO"/>
    <x v="11"/>
    <s v="ADRIELE DA SILVA SOUZA"/>
    <x v="1"/>
    <s v="RUA: CORONEL MARCOS DE ANDRADE, 437"/>
    <s v="CENTRO"/>
    <s v="VIAMAO"/>
    <s v="94410-050"/>
    <m/>
    <n v="0"/>
    <n v="5"/>
    <s v="NÃO"/>
    <s v="VERSÁTIL"/>
    <s v="BASE ÚNICA"/>
    <n v="13"/>
    <s v="LOJA VIAMAO - RS"/>
    <x v="0"/>
  </r>
  <r>
    <n v="31373"/>
    <s v="LOJA CAMPO MOURÃO - PR"/>
    <s v="MARIA LUIZA NUNES TOLOMEOTTI"/>
    <x v="12"/>
    <s v="CINARA REGINA KEMERICH"/>
    <x v="3"/>
    <s v="AV. IRMÃOS PEREIRA Nº 1631 SALA COMERCIAL"/>
    <s v="CENTRO"/>
    <s v="CAMPO MOURAO"/>
    <s v="87301-010"/>
    <d v="2021-03-22T00:00:00"/>
    <d v="2021-03-22T00:00:00"/>
    <n v="3"/>
    <s v="SIM"/>
    <s v="VERSÁTIL"/>
    <s v="BASE ÚNICA"/>
    <n v="838"/>
    <s v="LOJA CAMPO MOURAO - PR"/>
    <x v="0"/>
  </r>
  <r>
    <n v="31276"/>
    <s v="LOJA CASCAVEL - PR"/>
    <s v="LUIS ROGERIO DE OLIVEIRA"/>
    <x v="12"/>
    <s v="CINARA REGINA KEMERICH"/>
    <x v="3"/>
    <s v="AVENIDA BRASIL 6282, SL 312"/>
    <s v="CENTRO"/>
    <s v="CASCAVEL"/>
    <s v="85812-002"/>
    <m/>
    <n v="0"/>
    <n v="5"/>
    <s v="SIM"/>
    <s v="VERSÁTIL"/>
    <s v="BASE ÚNICA"/>
    <n v="742"/>
    <s v="LOJA CASCAVEL/PR"/>
    <x v="0"/>
  </r>
  <r>
    <n v="31226"/>
    <s v="LOJA FOZ DO IGUAÇU - PR"/>
    <s v="PAULO ROBERTO FLORES DE SOUZA"/>
    <x v="12"/>
    <s v="CINARA REGINA KEMERICH"/>
    <x v="3"/>
    <s v="RUA BARÃO DO RIO BRANCO, 648"/>
    <s v="CENTRO"/>
    <s v="FOZ DO IGUACU"/>
    <s v="85851-310"/>
    <m/>
    <n v="0"/>
    <n v="5"/>
    <s v="SIM"/>
    <s v="VERSÁTIL"/>
    <s v="BASE ÚNICA"/>
    <n v="743"/>
    <s v="LOJA FOZ DO IGUAÇU/PR"/>
    <x v="0"/>
  </r>
  <r>
    <n v="3817"/>
    <s v="LOJA LONDRINA - PR"/>
    <s v="PAMELA DA CONCEICAO DA SILVA"/>
    <x v="12"/>
    <s v="CINARA REGINA KEMERICH"/>
    <x v="3"/>
    <s v="AV PARANÁ 117 A  "/>
    <s v="CENTRO "/>
    <s v="LONDRINA"/>
    <s v="86020-360"/>
    <m/>
    <n v="0"/>
    <n v="5"/>
    <s v="SIM"/>
    <s v="VERSÁTIL"/>
    <s v="BASE ÚNICA"/>
    <n v="208"/>
    <s v="LOJA LONDRINA/PR"/>
    <x v="0"/>
  </r>
  <r>
    <n v="3800"/>
    <s v="LOJA MARINGA 1 - PR"/>
    <s v="GISLAINE ELIAS DOS SANTOS"/>
    <x v="12"/>
    <s v="CINARA REGINA KEMERICH"/>
    <x v="3"/>
    <s v="RUA SANTOS DUMONT  Nº 2905  LOJA 1 "/>
    <s v="ZONA 1"/>
    <s v="MARINGA"/>
    <s v="87013-050"/>
    <m/>
    <n v="0"/>
    <n v="4"/>
    <s v="SIM"/>
    <s v="VERSÁTIL"/>
    <s v="TRONCO"/>
    <n v="96"/>
    <s v="LOJA MARINGA I/PR"/>
    <x v="0"/>
  </r>
  <r>
    <n v="3827"/>
    <s v="LOJA MARINGA 2 - PR"/>
    <s v="EDEILSO COSTA MELO"/>
    <x v="12"/>
    <s v="CINARA REGINA KEMERICH"/>
    <x v="3"/>
    <s v="AVENIDA TAMANDARÉ 655 LOJA 58"/>
    <s v="ZONA 1"/>
    <s v="MARINGA"/>
    <s v="87013-210"/>
    <m/>
    <n v="0"/>
    <n v="4"/>
    <s v="SIM"/>
    <s v="VERSÁTIL"/>
    <s v="TRONCO"/>
    <n v="431"/>
    <s v="LOJA MARINGA II/PR"/>
    <x v="0"/>
  </r>
  <r>
    <n v="31353"/>
    <s v="LOJA TOLEDO - PR"/>
    <s v="Sem supervisor"/>
    <x v="12"/>
    <s v="CINARA REGINA KEMERICH"/>
    <x v="3"/>
    <s v="sete de setembro  n 1218"/>
    <s v="CENTRO"/>
    <s v="TOLEDO"/>
    <s v="85900-220"/>
    <d v="2020-09-21T00:00:00"/>
    <d v="2020-09-21T00:00:00"/>
    <n v="5"/>
    <s v="SIM"/>
    <s v="VERSÁTIL"/>
    <s v="BASE ÚNICA"/>
    <n v="752"/>
    <s v="LOJA TOLEDO/PR"/>
    <x v="0"/>
  </r>
  <r>
    <n v="200020"/>
    <s v="LOJA UMUARAMA - PR"/>
    <s v="FRANCIELY VANESSA DE SOUZA GARCIA"/>
    <x v="12"/>
    <s v="CINARA REGINA KEMERICH"/>
    <x v="3"/>
    <s v="AVENIDA BRASIL, 4140 SALA 4"/>
    <s v="ZONA I"/>
    <s v="UMUARAMA"/>
    <s v="87501-070"/>
    <d v="2021-11-23T00:00:00"/>
    <d v="2021-11-23T00:00:00"/>
    <n v="4"/>
    <s v="SIM"/>
    <s v="VERSÁTIL"/>
    <s v="BASE ÚNICA"/>
    <n v="870"/>
    <s v="LOJA UMUARAMA"/>
    <x v="0"/>
  </r>
  <r>
    <n v="1436"/>
    <s v="LOJA CAMAQUA - RS"/>
    <s v="ANDREY COSTA DA ROCHA"/>
    <x v="13"/>
    <s v="ADRIELE DA SILVA SOUZA"/>
    <x v="1"/>
    <s v="AVENIDA OLAVO MORAES, 798 - LOJA A"/>
    <s v="CENTRO"/>
    <s v="CAMAQUA"/>
    <s v="96780-070"/>
    <m/>
    <n v="0"/>
    <n v="3"/>
    <s v="NÃO"/>
    <s v="VERSÁTIL"/>
    <s v="BASE ÚNICA"/>
    <n v="111"/>
    <s v="LOJA CAMAQUA - RS"/>
    <x v="0"/>
  </r>
  <r>
    <n v="19707"/>
    <s v="LOJA CANGUÇU - RS"/>
    <s v="CLAUDIA BEATRIZ LACERDA SCHIAVON"/>
    <x v="13"/>
    <s v="ADRIELE DA SILVA SOUZA"/>
    <x v="1"/>
    <s v="AV. 20 DE SETEMBRO 11C"/>
    <s v="CENTRO (TRIANGULO)"/>
    <s v="CANGUCU"/>
    <s v="96600-000"/>
    <m/>
    <n v="0"/>
    <n v="3"/>
    <s v="NÃO"/>
    <s v="VERSÁTIL"/>
    <s v="BASE ÚNICA"/>
    <n v="714"/>
    <s v="LOJA CANGUÇU"/>
    <x v="0"/>
  </r>
  <r>
    <n v="1478"/>
    <s v="LOJA PELOTAS - RS"/>
    <s v="NAYANE BORGES"/>
    <x v="13"/>
    <s v="ADRIELE DA SILVA SOUZA"/>
    <x v="1"/>
    <s v="RUA SETE DE SETEMBRO, 240 "/>
    <s v="CENTRO"/>
    <s v="PELOTAS"/>
    <s v="96015-300"/>
    <m/>
    <n v="0"/>
    <n v="5"/>
    <s v="NÃO"/>
    <s v="VERSÁTIL"/>
    <s v="BASE ÚNICA"/>
    <n v="39"/>
    <s v="LOJA PELOTAS/RS"/>
    <x v="0"/>
  </r>
  <r>
    <n v="10200"/>
    <s v="LOJA RIO GRANDE - RS"/>
    <s v="Sem supervisor"/>
    <x v="13"/>
    <s v="ADRIELE DA SILVA SOUZA"/>
    <x v="1"/>
    <s v="MARECHAL FLORIANO 290"/>
    <s v="CENTRO"/>
    <s v="RIO GRANDE"/>
    <s v="96200-380"/>
    <m/>
    <n v="0"/>
    <n v="3"/>
    <s v="NÃO"/>
    <s v="VERSÁTIL"/>
    <s v="BASE ÚNICA"/>
    <n v="419"/>
    <s v="LOJA RIO GRANDE"/>
    <x v="0"/>
  </r>
  <r>
    <n v="1490"/>
    <s v="LOJA SAO LOURENÇO - RS"/>
    <s v="Sem supervisor"/>
    <x v="13"/>
    <s v="ADRIELE DA SILVA SOUZA"/>
    <x v="1"/>
    <s v="Rua Pinheiro Machado nº 406"/>
    <s v="MEDIANEIRA"/>
    <s v="SAO LOURENCO DO SUL"/>
    <s v="96170-000"/>
    <m/>
    <n v="0"/>
    <n v="3"/>
    <s v="NÃO"/>
    <s v="VERSÁTIL"/>
    <s v="BASE ÚNICA"/>
    <n v="205"/>
    <s v="LOJA SAO LOURENCO"/>
    <x v="0"/>
  </r>
  <r>
    <n v="1422"/>
    <s v="LOJA TAPES - RS"/>
    <s v="FRANCIELI FORTE SUBTIL DA SILVA"/>
    <x v="13"/>
    <s v="ADRIELE DA SILVA SOUZA"/>
    <x v="1"/>
    <s v="AV. ASSIS BRASIL, 371 LOJA 2"/>
    <s v="CENTRO"/>
    <s v="TAPES"/>
    <s v="96760-000"/>
    <m/>
    <n v="0"/>
    <n v="3"/>
    <s v="NÃO"/>
    <s v="SONAVOIP"/>
    <s v="SONAVOIP"/>
    <n v="54"/>
    <s v="LOJA TAPES/RS"/>
    <x v="0"/>
  </r>
  <r>
    <n v="9366"/>
    <s v="LOJA CONJ CEARA - FORTALEZA - CE"/>
    <s v="PAULO LINDEMBERG GOMES DO AMARAL"/>
    <x v="14"/>
    <s v="CRISTIANE CARVALHO GEBELATTO"/>
    <x v="4"/>
    <s v="AV. A, Nº 1115, LOJA A"/>
    <s v="CONJUNTO CEARÁ"/>
    <s v="FORTALEZA"/>
    <s v="60533-310"/>
    <d v="2021-01-18T00:00:00"/>
    <d v="2021-01-18T00:00:00"/>
    <n v="3"/>
    <s v="NÃO"/>
    <s v="VERSÁTIL"/>
    <s v="TRONCO"/>
    <n v="827"/>
    <s v="LOJA CONJUNTO CEARA - FORTALEZA - CE"/>
    <x v="0"/>
  </r>
  <r>
    <n v="90900"/>
    <s v="LOJA FORTALEZA - CE"/>
    <s v="IRANILDA ARAUJO DE FREITAS"/>
    <x v="14"/>
    <s v="CRISTIANE CARVALHO GEBELATTO"/>
    <x v="4"/>
    <s v="RUA FLORIANO PEIXOTO,797"/>
    <s v="CENTRO"/>
    <s v="FORTALEZA"/>
    <s v="60025-130"/>
    <m/>
    <n v="0"/>
    <n v="6"/>
    <s v="NÃO"/>
    <s v="VERSÁTIL"/>
    <s v="TRONCO"/>
    <n v="186"/>
    <s v="LOJA FORTALEZA/CE"/>
    <x v="0"/>
  </r>
  <r>
    <n v="9370"/>
    <s v="LOJA MESSEJANA - CE"/>
    <s v="RUTH EMANUELA ALVES JORGE"/>
    <x v="14"/>
    <s v="CRISTIANE CARVALHO GEBELATTO"/>
    <x v="4"/>
    <s v="CEL FRANCISCO PEREIRA,400, LOJA G"/>
    <s v="MESSEJANA"/>
    <s v="FORTALEZA"/>
    <s v="60840-290"/>
    <d v="2021-03-15T00:00:00"/>
    <d v="2021-03-15T00:00:00"/>
    <n v="3"/>
    <s v="NÃO"/>
    <s v="VERSÁTIL"/>
    <s v="TRONCO"/>
    <n v="839"/>
    <s v="LOJA MESSEJANA - CE"/>
    <x v="0"/>
  </r>
  <r>
    <n v="9368"/>
    <s v="LOJA PARANGABA - CE"/>
    <s v="Sem supervisor"/>
    <x v="14"/>
    <s v="CRISTIANE CARVALHO GEBELATTO"/>
    <x v="4"/>
    <s v="CAIO PRADO 61, LOJA 6"/>
    <s v="PARANGABA"/>
    <s v="FORTALEZA"/>
    <s v="60720-040"/>
    <d v="2021-02-03T00:00:00"/>
    <d v="2021-02-03T00:00:00"/>
    <n v="4"/>
    <s v="NÃO"/>
    <s v="VERSÁTIL"/>
    <s v="TRONCO"/>
    <n v="833"/>
    <s v="LOJA PARANGABA - FORTALEZA - CE"/>
    <x v="0"/>
  </r>
  <r>
    <n v="7747"/>
    <s v="LOJA CABULA - SALVADOR"/>
    <s v="RODRIGO GONZAGA CONCEICAO"/>
    <x v="15"/>
    <s v="CRISTIANE CARVALHO GEBELATTO"/>
    <x v="5"/>
    <s v="SÃO GONÇALO, Nº 17 - LOJA 1"/>
    <s v="CABULA"/>
    <s v="SALVADOR"/>
    <s v="41185-055"/>
    <m/>
    <n v="0"/>
    <n v="3"/>
    <s v="NÃO"/>
    <s v="VERSÁTIL"/>
    <s v="TRONCO"/>
    <n v="825"/>
    <s v="LOJA CABULA - SALVADOR - BA"/>
    <x v="0"/>
  </r>
  <r>
    <n v="7800"/>
    <s v="LOJA CAJAZEIRAS -  BA"/>
    <s v="ROSECLEIDE ALVES BARBOSA"/>
    <x v="15"/>
    <s v="CRISTIANE CARVALHO GEBELATTO"/>
    <x v="5"/>
    <s v="ESTRADA DO COQUEIRO GRANDE, 21A"/>
    <s v="FAZENDA GRANDE II"/>
    <s v="SALVADOR"/>
    <s v="41340-050"/>
    <m/>
    <n v="0"/>
    <n v="4"/>
    <s v="NÃO"/>
    <s v="VERSÁTIL"/>
    <s v="TRONCO"/>
    <n v="722"/>
    <s v="LOJA CAJAZEIRAS - BA"/>
    <x v="0"/>
  </r>
  <r>
    <n v="7748"/>
    <s v="LOJA ITAPUÃ - SALVADOR"/>
    <s v="LIDIANE RUTE VELOSO DOS SANTOS"/>
    <x v="15"/>
    <s v="CRISTIANE CARVALHO GEBELATTO"/>
    <x v="5"/>
    <s v="FERNANDO TORRES, Nº 3 LOJA 3"/>
    <s v="ITAPUÃ"/>
    <s v="SALVADOR"/>
    <s v="41635-470"/>
    <m/>
    <n v="0"/>
    <n v="5"/>
    <s v="NÃO"/>
    <s v="VERSÁTIL"/>
    <s v="TRONCO"/>
    <n v="828"/>
    <s v="LOJA ITAPUA - SALVADOR - BA"/>
    <x v="0"/>
  </r>
  <r>
    <n v="94438"/>
    <s v="LOJA LAURO DE FREITAS - BA"/>
    <s v="MAINARA ALVES DOS SANTOS"/>
    <x v="15"/>
    <s v="CRISTIANE CARVALHO GEBELATTO"/>
    <x v="6"/>
    <s v="PRAÇA MARTINIANO MAIA 181 A"/>
    <s v="CENTRO"/>
    <s v="LAURO DE FREITAS"/>
    <m/>
    <m/>
    <m/>
    <n v="3"/>
    <m/>
    <s v="VERSÁTIL"/>
    <s v="TRONCO"/>
    <n v="511"/>
    <s v="LOJA LAURO DE FREITAS/BA"/>
    <x v="0"/>
  </r>
  <r>
    <n v="7900"/>
    <s v="LOJA SALVADOR - BA"/>
    <s v="JESSICA ANDRADE DOS SANTOS"/>
    <x v="15"/>
    <s v="CRISTIANE CARVALHO GEBELATTO"/>
    <x v="5"/>
    <s v="RUA DA BÉLGICA, 148 LOJA C "/>
    <s v="COMERCIO"/>
    <s v="SALVADOR"/>
    <s v="40010-030"/>
    <m/>
    <n v="0"/>
    <n v="7"/>
    <s v="NÃO"/>
    <s v="VERSÁTIL"/>
    <s v="TRONCO"/>
    <n v="126"/>
    <s v="LOJA SALVADOR/BA"/>
    <x v="0"/>
  </r>
  <r>
    <n v="71002"/>
    <s v="LOJA SALVADOR - COMERCIO"/>
    <s v="JOSE WELLINGTON DE SOUSA COSTA"/>
    <x v="15"/>
    <s v="CRISTIANE CARVALHO GEBELATTO"/>
    <x v="5"/>
    <s v="RUA DA BÉLGICA, 148 LOJA C "/>
    <s v="COMÉRCIO"/>
    <s v="SALVADOR"/>
    <s v="40010-030"/>
    <m/>
    <n v="0"/>
    <n v="7"/>
    <s v="NÃO"/>
    <s v="VERSÁTIL"/>
    <s v="TRONCO"/>
    <n v="845"/>
    <s v="LOJA SALVADOR/COMERCIO"/>
    <x v="0"/>
  </r>
  <r>
    <n v="7815"/>
    <s v="LOJA SAO MARCOS - BA"/>
    <s v="ADRIANE SANTOS RIBEIRO"/>
    <x v="15"/>
    <s v="CRISTIANE CARVALHO GEBELATTO"/>
    <x v="5"/>
    <s v="RUA SÃO MARCOS, 56"/>
    <s v="SÃO MARCOS"/>
    <s v="SALVADOR"/>
    <s v="41253-190"/>
    <m/>
    <n v="0"/>
    <n v="4"/>
    <s v="NÃO"/>
    <s v="VERSÁTIL"/>
    <s v="TRONCO"/>
    <n v="770"/>
    <s v="LOJA SAO MARCOS/BA"/>
    <x v="0"/>
  </r>
  <r>
    <n v="93826"/>
    <s v="LOJA ARACAJU - SE"/>
    <s v="VALQUIRIA SANTOS DA CRUZ"/>
    <x v="15"/>
    <s v="CRISTIANE CARVALHO GEBELATTO"/>
    <x v="7"/>
    <s v="RUA SÃO CRISTÓVÃO, 402"/>
    <s v="CENTRO"/>
    <s v="ARACAJU "/>
    <s v="49010-380"/>
    <d v="2022-11-18T00:00:00"/>
    <m/>
    <n v="5"/>
    <m/>
    <s v="VERSÁTIL"/>
    <m/>
    <n v="504"/>
    <s v="LOJA ARACAJU/SE"/>
    <x v="0"/>
  </r>
  <r>
    <n v="23001"/>
    <s v="LOJA MACEIO - AL"/>
    <s v="THAISA MARY COSTA DE OLIVEIRA"/>
    <x v="15"/>
    <s v="CRISTIANE CARVALHO GEBELATTO"/>
    <x v="8"/>
    <s v="RUA BARÃO DE PENEDO , Nº 197"/>
    <s v="CENTRO"/>
    <s v="MACEIO"/>
    <s v="57020-340"/>
    <m/>
    <n v="0"/>
    <n v="4"/>
    <s v="SIM"/>
    <s v="VERSÁTIL"/>
    <s v="BASE ÚNICA"/>
    <n v="285"/>
    <s v="LOJA MACEIO"/>
    <x v="0"/>
  </r>
  <r>
    <n v="81006"/>
    <s v="LOJA AFOGADOS - RECIFE"/>
    <s v="MARILIA TERCIA DA SILVA BRITO"/>
    <x v="16"/>
    <s v="CRISTIANE CARVALHO GEBELATTO"/>
    <x v="9"/>
    <s v="DA PAZ, Nº 194"/>
    <s v="AFOGADOS"/>
    <s v="RECIFE"/>
    <s v="50770-000"/>
    <d v="2021-03-30T00:00:00"/>
    <d v="2021-03-30T00:00:00"/>
    <n v="3"/>
    <s v="SIM"/>
    <s v="VERSÁTIL"/>
    <s v="TRONCO"/>
    <n v="822"/>
    <s v="LOJA AFOGADOS - RECIFE - PE"/>
    <x v="0"/>
  </r>
  <r>
    <n v="18936"/>
    <s v="LOJA BAYEUX - PB"/>
    <s v="HERCULANO ALVES DOS SANTOS"/>
    <x v="16"/>
    <s v="CRISTIANE CARVALHO GEBELATTO"/>
    <x v="10"/>
    <s v="AVENIDA LIBERDADE 3379"/>
    <s v="CENTRO"/>
    <s v="BAYEUX"/>
    <s v="58110-160"/>
    <d v="2021-06-14T00:00:00"/>
    <d v="2021-06-14T00:00:00"/>
    <n v="3"/>
    <s v="SIM"/>
    <s v="VERSÁTIL"/>
    <s v="BASE ÚNICA"/>
    <n v="824"/>
    <s v="LOJA BAYEUX - PB"/>
    <x v="0"/>
  </r>
  <r>
    <n v="18105"/>
    <s v="LOJA CAMPINA GRANDE - PB"/>
    <s v="DANIELA MEDEIROS MONTEIRO DE OLIVEIRA"/>
    <x v="16"/>
    <s v="CRISTIANE CARVALHO GEBELATTO"/>
    <x v="10"/>
    <s v="RUA EPITACIO PESSOA 166"/>
    <s v="CENTRO"/>
    <s v="CAMPINA GRANDE"/>
    <s v="58400-025"/>
    <m/>
    <n v="0"/>
    <n v="4"/>
    <s v="SIM"/>
    <s v="VERSÁTIL"/>
    <s v="BASE ÚNICA"/>
    <n v="719"/>
    <s v="LOJA CAMPINA GRANDE"/>
    <x v="0"/>
  </r>
  <r>
    <n v="80969"/>
    <s v="LOJA CARUARU - PE"/>
    <s v="DANILMA MATIAS DA SILVA"/>
    <x v="16"/>
    <s v="CRISTIANE CARVALHO GEBELATTO"/>
    <x v="9"/>
    <s v="RUA CORONEL LIMEIRA, Nº 049-C"/>
    <s v="NOSSA SENHORA DAS DORES"/>
    <s v="CARUARU"/>
    <s v="55002-350"/>
    <m/>
    <n v="0"/>
    <n v="4"/>
    <s v="SIM"/>
    <s v="VERSÁTIL"/>
    <s v="BASE ÚNICA"/>
    <n v="739"/>
    <s v="LOJA CARUARU/PE"/>
    <x v="0"/>
  </r>
  <r>
    <n v="81075"/>
    <s v="LOJA CRUZ DAS ARMAS - PB"/>
    <s v="DAYANNE COSTA CHAVES"/>
    <x v="16"/>
    <s v="CRISTIANE CARVALHO GEBELATTO"/>
    <x v="10"/>
    <s v="AV. CRUZ DAS ARMAS, 771, SALA B"/>
    <s v="CRUZ DAS ARMAS"/>
    <s v="JOAO PESSOA"/>
    <s v="58085-000"/>
    <d v="2022-05-23T00:00:00"/>
    <d v="2022-05-23T00:00:00"/>
    <n v="4"/>
    <s v="SIM"/>
    <s v="SONAVOIP"/>
    <s v="SONAVOIP"/>
    <n v="267"/>
    <s v="LOJA JOAO PESSOA/PB"/>
    <x v="0"/>
  </r>
  <r>
    <n v="18900"/>
    <s v="LOJA JOAO PESSOA - PB"/>
    <s v="RUANA VIRGINIA DA SILVA SANTOS"/>
    <x v="16"/>
    <s v="CRISTIANE CARVALHO GEBELATTO"/>
    <x v="10"/>
    <s v="RUA TREZE DE MAIO, 391"/>
    <s v="CENTRO"/>
    <s v="JOAO PESSOA"/>
    <s v="58013-070"/>
    <m/>
    <n v="0"/>
    <n v="6"/>
    <s v="SIM"/>
    <s v="VERSÁTIL"/>
    <s v="TRONCO"/>
    <n v="267"/>
    <s v="LOJA JOAO PESSOA/PB"/>
    <x v="0"/>
  </r>
  <r>
    <n v="18937"/>
    <s v="LOJA MANGABEIRA - PB"/>
    <s v="VANDERLANDIA FERREIRA ALVES VENANCIO"/>
    <x v="16"/>
    <s v="CRISTIANE CARVALHO GEBELATTO"/>
    <x v="10"/>
    <s v="RUA JOSEFA TAVEIRA 1547"/>
    <s v="MAGABEIRA"/>
    <s v="JOAO PESSOA"/>
    <s v="58055-000"/>
    <d v="2021-08-11T00:00:00"/>
    <d v="2021-08-11T00:00:00"/>
    <n v="4"/>
    <s v="SIM"/>
    <s v="VERSÁTIL"/>
    <s v="TRONCO"/>
    <n v="864"/>
    <s v="LOJA MANGABEIRA / PB"/>
    <x v="0"/>
  </r>
  <r>
    <n v="14900"/>
    <s v="LOJA NATAL - RN"/>
    <s v="THAISE SILVEIRA DOS SANTOS APOLINARIO"/>
    <x v="16"/>
    <s v="CRISTIANE CARVALHO GEBELATTO"/>
    <x v="11"/>
    <s v="AVENIDA DEODORO DA FONSECA 626"/>
    <s v="CENTRO"/>
    <s v="NATAL"/>
    <s v="59025-145"/>
    <m/>
    <n v="0"/>
    <n v="5"/>
    <s v="SIM"/>
    <s v="VERSÁTIL"/>
    <s v="TRONCO"/>
    <n v="281"/>
    <s v="LOJA NATAL I - RN"/>
    <x v="0"/>
  </r>
  <r>
    <n v="14932"/>
    <s v="LOJA NATAL - CIDADE ALTA - RN"/>
    <s v="WHANDERSON MATHEUS ARAUJO DA COSTA"/>
    <x v="16"/>
    <s v="CRISTIANE CARVALHO GEBELATTO"/>
    <x v="11"/>
    <s v="RUA JOÃO PESSOA, Nº 219"/>
    <s v="CIDADE ALTA"/>
    <s v="NATAL"/>
    <s v="59025-500"/>
    <m/>
    <n v="0"/>
    <n v="4"/>
    <s v="SIM"/>
    <s v="VERSÁTIL"/>
    <s v="TRONCO"/>
    <n v="737"/>
    <s v="LOJA NATAL II - RN"/>
    <x v="0"/>
  </r>
  <r>
    <n v="8399"/>
    <s v="LOJA RECIFE - PE"/>
    <s v="MARCELA FERREIRA DOS PASSOS"/>
    <x v="16"/>
    <s v="CRISTIANE CARVALHO GEBELATTO"/>
    <x v="9"/>
    <s v="RUA DUQUE DE CAXIAS 201"/>
    <s v="SANTO ANTONIO"/>
    <s v="RECIFE"/>
    <s v="50010-290"/>
    <m/>
    <n v="0"/>
    <n v="8"/>
    <s v="SIM"/>
    <s v="VERSÁTIL"/>
    <s v="TRONCO"/>
    <n v="75"/>
    <s v="LOJA RECIFE/PE"/>
    <x v="0"/>
  </r>
  <r>
    <n v="1498"/>
    <s v="CALL CENTER - DEBITO DIGITAL 1498"/>
    <s v="WILLIAM BONIATTI MENEGAT"/>
    <x v="17"/>
    <s v="FERNANDA APARECIDA TOMAZINI"/>
    <x v="1"/>
    <s v="VIGARIO JOSE INACIO 258/260"/>
    <s v="CENTRO"/>
    <s v="PORTO ALEGRE"/>
    <s v="90020-100"/>
    <m/>
    <s v="-"/>
    <s v="-"/>
    <s v="NÃO"/>
    <s v="VERSÁTIL"/>
    <s v="BASE ÚNICA"/>
    <n v="211"/>
    <s v="CALL CENTER - DEBITO"/>
    <x v="0"/>
  </r>
  <r>
    <n v="1493"/>
    <s v="CALL CENTER - FGTS 1493"/>
    <s v="FLAVIA GRAZIELA MENDES BORGES"/>
    <x v="17"/>
    <s v="FERNANDA APARECIDA TOMAZINI"/>
    <x v="1"/>
    <s v="AV. BORGES DE MEDEIROS 410/8 ANDAR"/>
    <s v="CENTRO"/>
    <s v="PORTO ALEGRE"/>
    <s v="90020-022"/>
    <m/>
    <s v="-"/>
    <s v="-"/>
    <s v="NÃO"/>
    <s v="VERSÁTIL"/>
    <s v="BASE ÚNICA"/>
    <n v="866"/>
    <s v="CALL CENTER - FGTS"/>
    <x v="0"/>
  </r>
  <r>
    <n v="1491"/>
    <s v="CALL CENTER PRODUTOS E SERVIÇOS II 1491"/>
    <s v="TERESINHA DE JESUS FREITAS SOARES"/>
    <x v="17"/>
    <s v="FERNANDA APARECIDA TOMAZINI"/>
    <x v="1"/>
    <s v="AVENIDA SENADOR SALGADO FILHO 230"/>
    <s v="CENTRO "/>
    <s v="PORTO ALEGRE"/>
    <s v="90010-220"/>
    <m/>
    <s v="-"/>
    <s v="-"/>
    <s v="NÃO"/>
    <s v="VERSÁTIL"/>
    <s v="BASE ÚNICA"/>
    <n v="129"/>
    <s v="CALL CENTER INSS - RS"/>
    <x v="0"/>
  </r>
  <r>
    <n v="1492"/>
    <s v="CALL CENTER PRODUTOS E SERVIÇOS III 1492"/>
    <s v="TASSIANA GARCIA MOURA"/>
    <x v="17"/>
    <s v="FERNANDA APARECIDA TOMAZINI"/>
    <x v="1"/>
    <s v="VIGARIO JOSE INACIO 258/260"/>
    <s v="CENTRO"/>
    <s v="PORTO ALEGRE"/>
    <s v="90020-100"/>
    <m/>
    <s v="-"/>
    <s v="-"/>
    <s v="NÃO"/>
    <s v="VERSÁTIL"/>
    <s v="BASE ÚNICA"/>
    <n v="785"/>
    <s v="CALL CENTER PRODUTOS E SERVIÇOS III"/>
    <x v="0"/>
  </r>
  <r>
    <n v="149400"/>
    <s v="CALL CENTER PRODUTOS E SERVIÇOS IV 149400"/>
    <s v="VANESSA DOS SANTOS PINTO"/>
    <x v="17"/>
    <s v="FERNANDA APARECIDA TOMAZINI"/>
    <x v="1"/>
    <s v="VIGARIO JOSE INACIO 258/260"/>
    <s v="CENTRO "/>
    <s v="PORTO ALEGRE"/>
    <s v="90020-100"/>
    <m/>
    <s v="-"/>
    <s v="-"/>
    <s v="NÃO"/>
    <s v="VERSÁTIL"/>
    <s v="BASE ÚNICA"/>
    <n v="793"/>
    <s v="COORDENADOR CALL CENTER PRODUTOS E SERVIÇOS"/>
    <x v="0"/>
  </r>
  <r>
    <n v="149800"/>
    <s v="CALL CENTER PRODUTOS E SERVIÇOS IX 149800"/>
    <s v="RAPHAEL CASCAES MARTHA"/>
    <x v="17"/>
    <s v="FERNANDA APARECIDA TOMAZINI"/>
    <x v="1"/>
    <s v="AV. BORGES DE MEDEIROS, 410,"/>
    <s v="CENTRO"/>
    <s v="PORTO ALEGRE"/>
    <s v="90020-022"/>
    <m/>
    <s v="-"/>
    <s v="-"/>
    <s v="NÃO"/>
    <s v="VERSÁTIL"/>
    <s v="BASE ÚNICA"/>
    <n v="874"/>
    <s v="CALL CENTER PRODUTOS E SERVIÇOS IX"/>
    <x v="0"/>
  </r>
  <r>
    <n v="149500"/>
    <s v="CALL CENTER PRODUTOS E SERVIÇOS V 149500"/>
    <s v="Sem supervisor"/>
    <x v="17"/>
    <s v="FERNANDA APARECIDA TOMAZINI"/>
    <x v="1"/>
    <s v="RUA VIGARIO JOSE INACIO, 258 / 260"/>
    <s v="CENTRO"/>
    <s v="PORTO ALEGRE"/>
    <m/>
    <m/>
    <s v="-"/>
    <s v="-"/>
    <s v="NÃO"/>
    <s v="VERSÁTIL"/>
    <s v="BASE ÚNICA"/>
    <n v="806"/>
    <s v="CALL CENTER PRODUTOS E SERVIÇOS V"/>
    <x v="0"/>
  </r>
  <r>
    <n v="149700"/>
    <s v="CALL CENTER PRODUTOS E SERVIÇOS VI 149700"/>
    <s v="Sem supervisor"/>
    <x v="17"/>
    <s v="FERNANDA APARECIDA TOMAZINI"/>
    <x v="1"/>
    <s v="AV. BORGES DE MEDEIROS, 410, 12º ANDAR"/>
    <s v="CENTRO"/>
    <s v="PORTO ALEGRE"/>
    <s v="90020-022"/>
    <m/>
    <s v="-"/>
    <s v="-"/>
    <s v="NÃO"/>
    <s v="VERSÁTIL"/>
    <s v="BASE ÚNICA"/>
    <n v="872"/>
    <s v="CALL CENTER PRODUTOS E SERVIÇOS VI"/>
    <x v="0"/>
  </r>
  <r>
    <n v="1495"/>
    <s v="CALL CENTER PRODUTOS E SERVIÇOS VII 1495"/>
    <s v="Sem supervisor"/>
    <x v="17"/>
    <s v="FERNANDA APARECIDA TOMAZINI"/>
    <x v="1"/>
    <s v="RUA BORGES DE MEDEIROS 410"/>
    <s v="CENTRO"/>
    <s v="PORTO ALEGRE"/>
    <s v="90020-023"/>
    <m/>
    <s v="-"/>
    <s v="-"/>
    <s v="NÃO"/>
    <s v="VERSÁTIL"/>
    <s v="BASE ÚNICA"/>
    <n v="867"/>
    <s v="CALL CENTER PRODUTOS E SERVIÇOS VII"/>
    <x v="0"/>
  </r>
  <r>
    <n v="149600"/>
    <s v="CALL CENTER PRODUTOS E SERVIÇOS VIII 149600"/>
    <s v="Sem supervisor"/>
    <x v="17"/>
    <s v="FERNANDA APARECIDA TOMAZINI"/>
    <x v="1"/>
    <s v="AV. BORGES DE MEDEIROS, 410, 12º ANDAR"/>
    <s v="CENTRO"/>
    <s v="PORTO ALEGRE"/>
    <s v="90020-022"/>
    <m/>
    <s v="-"/>
    <s v="-"/>
    <s v="NÃO"/>
    <s v="VERSÁTIL"/>
    <s v="BASE ÚNICA"/>
    <n v="873"/>
    <s v="CALL CENTER PRODUTOS E SERVIÇOS VIII"/>
    <x v="0"/>
  </r>
  <r>
    <n v="1499"/>
    <s v="CALL CENTER SIAPE - RS 1499"/>
    <s v="ALISSON MONEGO PEREIRA"/>
    <x v="17"/>
    <s v="FERNANDA APARECIDA TOMAZINI"/>
    <x v="1"/>
    <s v="AV. BORGES DE MEDEIROS 410/8 ANDAR"/>
    <s v="CENTRO"/>
    <s v="PORTO ALEGRE"/>
    <s v="90020-022"/>
    <m/>
    <s v="-"/>
    <s v="-"/>
    <s v="NÃO"/>
    <s v="VERSÁTIL"/>
    <s v="BASE ÚNICA"/>
    <n v="282"/>
    <s v="CALL CENTER SIAPE - RS"/>
    <x v="0"/>
  </r>
  <r>
    <n v="15002"/>
    <s v="LOJA GOIANIA - GO"/>
    <s v="ADRIELE FERNANDA VIEIRA DA SILVA"/>
    <x v="18"/>
    <s v="MAYARA NOVAIS LOPES"/>
    <x v="12"/>
    <s v="RUA 02, 230 LJ 2 - EDIF CARLOS CHAGAS LOJA 2"/>
    <s v="SETOR CENTRAL"/>
    <s v="GOIANIA"/>
    <s v="74013-020"/>
    <m/>
    <n v="0"/>
    <n v="8"/>
    <s v="NÃO"/>
    <s v="VERSÁTIL"/>
    <s v="TRONCO"/>
    <n v="274"/>
    <s v="LOJA GOIANIA/GO"/>
    <x v="0"/>
  </r>
  <r>
    <n v="17207"/>
    <s v="LOJA SETOR CAMPINAS - GO "/>
    <s v="GEOVANNA ALVES DE PAULA VAZ"/>
    <x v="18"/>
    <s v="MAYARA NOVAIS LOPES"/>
    <x v="12"/>
    <s v="AV. 24 DE OUTUBRO, N.779 QD.43 LT.04 SL.01"/>
    <s v="SETOR CAMPINAS "/>
    <s v="GOIANIA"/>
    <s v="74505-011"/>
    <m/>
    <n v="0"/>
    <n v="4"/>
    <s v="NÃO"/>
    <s v="VERSÁTIL"/>
    <s v="TRONCO"/>
    <n v="740"/>
    <s v="LOJA SETOR CAMPINAS/GO"/>
    <x v="0"/>
  </r>
  <r>
    <n v="15361"/>
    <s v="LOJA SETOR GARAVELO - GO"/>
    <s v="POLIANA MORAIS SILVA"/>
    <x v="18"/>
    <s v="MAYARA NOVAIS LOPES"/>
    <x v="12"/>
    <s v="AVENIDA DA IGUALDADE QD 095, LT 03"/>
    <s v="SETOR GARAVELO"/>
    <s v="APARECIDA DE GOIANIA"/>
    <s v="74930-530"/>
    <m/>
    <n v="0"/>
    <n v="4"/>
    <s v="NÃO"/>
    <s v="VERSÁTIL"/>
    <s v="TRONCO"/>
    <n v="749"/>
    <s v="LOJA SETOR GARAVELO - GO"/>
    <x v="0"/>
  </r>
  <r>
    <n v="13976"/>
    <s v="LOJA ANJO DA GUARDA - MA"/>
    <s v="MEYRILANE SOUSA BARROS"/>
    <x v="19"/>
    <s v="MAYARA NOVAIS LOPES"/>
    <x v="13"/>
    <s v="AVENIDA MOÇAMBIQUE, 05"/>
    <s v="ANJO DA GUARDA"/>
    <s v="SÃO LUIS"/>
    <m/>
    <m/>
    <m/>
    <n v="3"/>
    <m/>
    <s v="VERSÁTIL"/>
    <s v="TRONCO"/>
    <n v="505"/>
    <s v="LOJA ANJO DA GUARDA/MA"/>
    <x v="0"/>
  </r>
  <r>
    <n v="12257"/>
    <s v="LOJA JOAO PAULO - MA"/>
    <s v="LAYANE JAYRA DA SILVA CARVALHO"/>
    <x v="19"/>
    <s v="MAYARA NOVAIS LOPES"/>
    <x v="13"/>
    <s v="AV. JOAO PESSOA 182"/>
    <s v="JOAO PAULO"/>
    <s v="SAO LUIS"/>
    <s v="64040-000"/>
    <d v="2021-10-18T00:00:00"/>
    <d v="2021-10-18T00:00:00"/>
    <n v="3"/>
    <s v="NÃO"/>
    <s v="VERSÁTIL"/>
    <s v="TRONCO"/>
    <n v="865"/>
    <s v="LOJA JOAO PAULO - MA"/>
    <x v="0"/>
  </r>
  <r>
    <n v="31381"/>
    <s v="LOJA PAÇO DO LUMIAR - MA"/>
    <s v="BIANCA NIUANE DIAS MESQUITA"/>
    <x v="19"/>
    <s v="MAYARA NOVAIS LOPES"/>
    <x v="13"/>
    <s v="RODOVIA MA-201 (ESTRADA DE RIBAMAR) KM 7, Nº 7114"/>
    <s v="BAIRRO TIJUPÁ QUEIMADO"/>
    <s v="PAÇO DO LUMIAR"/>
    <n v="0"/>
    <d v="2021-04-12T00:00:00"/>
    <d v="2021-04-12T00:00:00"/>
    <n v="3"/>
    <s v="NÃO"/>
    <s v="VERSÁTIL"/>
    <s v="BASE ÚNICA"/>
    <n v="844"/>
    <s v="LOJA PAÇO DO LUMIAR - MA"/>
    <x v="0"/>
  </r>
  <r>
    <n v="31388"/>
    <s v="LOJA SAO JOSE DE RIBAMAR - MA"/>
    <s v="STEPHANIE FURTADO DE CARVALHO"/>
    <x v="19"/>
    <s v="MAYARA NOVAIS LOPES"/>
    <x v="13"/>
    <s v="AV. GONÇALVES DIAS 711, SALA 02"/>
    <s v="CENTRO"/>
    <s v="SAO JOSE DE RIBAMAR"/>
    <s v="65110-000"/>
    <d v="2021-05-03T00:00:00"/>
    <d v="2021-05-03T00:00:00"/>
    <n v="4"/>
    <s v="NÃO"/>
    <s v="VERSÁTIL"/>
    <s v="BASE ÚNICA"/>
    <n v="852"/>
    <s v="LOJA SÃO JOSE DE RIBAMAR/MA"/>
    <x v="0"/>
  </r>
  <r>
    <n v="13900"/>
    <s v="LOJA SAO LUIS - MA"/>
    <s v="DARILENE SILVA BARROSO"/>
    <x v="19"/>
    <s v="MAYARA NOVAIS LOPES"/>
    <x v="13"/>
    <s v="RUA DO SOL , 585"/>
    <s v="CENTRO"/>
    <s v="SAO LUIS"/>
    <s v="65020-590"/>
    <m/>
    <n v="0"/>
    <n v="5"/>
    <s v="NÃO"/>
    <s v="VERSÁTIL"/>
    <s v="TRONCO"/>
    <n v="234"/>
    <s v="LOJA SAO LUIS/MA"/>
    <x v="0"/>
  </r>
  <r>
    <n v="20085"/>
    <s v="LOJA TERESINA II - PI"/>
    <s v="MARCIELE DA SILVA VIEIRA"/>
    <x v="19"/>
    <s v="MAYARA NOVAIS LOPES"/>
    <x v="14"/>
    <s v="BARROSO, Nº 151"/>
    <s v="CENTRO"/>
    <s v="TERESINA"/>
    <s v="64000-130"/>
    <d v="2020-11-26T00:00:00"/>
    <d v="2020-11-26T00:00:00"/>
    <n v="7"/>
    <s v="SIM"/>
    <s v="VERSÁTIL"/>
    <s v="TRONCO"/>
    <n v="817"/>
    <s v="LOJA TERESINA II"/>
    <x v="0"/>
  </r>
  <r>
    <n v="31382"/>
    <s v="LOJA TIRIRICAL - MA"/>
    <s v="NAYRA BASTOS DA SILVA"/>
    <x v="19"/>
    <s v="MAYARA NOVAIS LOPES"/>
    <x v="13"/>
    <s v="AV. GUARAJARAS, Nº 30, Shopping Marajo LJ 07"/>
    <s v="TIRIRICAL"/>
    <s v="SAO LUIS"/>
    <s v="65055-285"/>
    <d v="2021-04-05T00:00:00"/>
    <d v="2021-04-05T00:00:00"/>
    <n v="5"/>
    <s v="NÃO"/>
    <s v="VERSÁTIL"/>
    <s v="TRONCO"/>
    <n v="846"/>
    <s v="LOJA TIRIRICAL/MA"/>
    <x v="0"/>
  </r>
  <r>
    <n v="12200"/>
    <s v="LOJA CAMPO GRANDE - MS"/>
    <s v="SUELEN TAVARES DE ARAUJO"/>
    <x v="18"/>
    <s v="MAYARA NOVAIS LOPES"/>
    <x v="15"/>
    <s v="RUA TREZE DE MAIO, 2892"/>
    <s v="CENTRO"/>
    <s v="CAMPO GRANDE"/>
    <s v="79002-356"/>
    <m/>
    <n v="0"/>
    <n v="6"/>
    <s v="NÃO"/>
    <s v="VERSÁTIL"/>
    <s v="BASE ÚNICA"/>
    <n v="305"/>
    <s v="LOJA CAMPO GRANDE/MS"/>
    <x v="0"/>
  </r>
  <r>
    <n v="19201"/>
    <s v="LOJA CUIABA - MT"/>
    <s v="STELLA CORDEIRO ALVES"/>
    <x v="18"/>
    <s v="MAYARA NOVAIS LOPES"/>
    <x v="16"/>
    <s v="RUA BARÃO DE MELGAÇO 3525, SL 3"/>
    <s v="CENTRO-NORTE "/>
    <s v="CUIABA"/>
    <s v="78005-300"/>
    <m/>
    <n v="0"/>
    <n v="4"/>
    <s v="SIM"/>
    <s v="VERSÁTIL"/>
    <s v="BASE ÚNICA"/>
    <n v="715"/>
    <s v="LOJA CUIABA"/>
    <x v="0"/>
  </r>
  <r>
    <n v="24009"/>
    <s v="LOJA PALMAS - TO"/>
    <s v="MARCELO HENRIQUE SILVA LOPES"/>
    <x v="18"/>
    <s v="MAYARA NOVAIS LOPES"/>
    <x v="17"/>
    <s v="QUADRA 104 SUL, RUA SE 01, N° 5, SALA 1,"/>
    <s v="PLANO DIRETOR SUL "/>
    <s v="PALMAS"/>
    <s v="77020-014"/>
    <m/>
    <n v="0"/>
    <n v="3"/>
    <s v="SIM"/>
    <s v="VERSÁTIL"/>
    <s v="BASE ÚNICA"/>
    <n v="775"/>
    <s v="LOJA PALMAS - TO"/>
    <x v="0"/>
  </r>
  <r>
    <n v="40325"/>
    <s v="LOJA  JUIZ DE FORA - MG"/>
    <s v="BIANCA GOMES MARCIANO SILVA"/>
    <x v="20"/>
    <s v="MAYARA NOVAIS LOPES"/>
    <x v="18"/>
    <s v="RUA BARÃO DE SÃO JOÃO NEPOMUCENO, 66"/>
    <s v="CENTRO"/>
    <s v="JUIZ DE FORA"/>
    <s v="36014-008"/>
    <d v="2022-01-17T00:00:00"/>
    <d v="2022-01-17T00:00:00"/>
    <n v="5"/>
    <s v="NÃO"/>
    <s v="SONAVOIP"/>
    <s v="SONAVOIP"/>
    <n v="879"/>
    <s v="LOJA JUIZ DE FORA - MG"/>
    <x v="0"/>
  </r>
  <r>
    <n v="4900"/>
    <s v="LOJA BELO HORIZONTE - MG"/>
    <s v="KELLY TATIANY DE MELO"/>
    <x v="20"/>
    <s v="MAYARA NOVAIS LOPES"/>
    <x v="18"/>
    <s v="AV. AFONSO PENA 925 "/>
    <s v="CENTRO "/>
    <s v="BELO HORIZONTE"/>
    <s v="30130-002"/>
    <m/>
    <n v="0"/>
    <n v="7"/>
    <s v="NÃO"/>
    <s v="VERSÁTIL"/>
    <s v="TRONCO"/>
    <n v="627"/>
    <s v="LOJA BELO HORIZONTE - MG"/>
    <x v="0"/>
  </r>
  <r>
    <n v="400013"/>
    <s v="LOJA CATAGUASES - MG"/>
    <s v="CARLOS VINICIUS TEIXEIRA DE SOUZA"/>
    <x v="20"/>
    <s v="MAYARA NOVAIS LOPES"/>
    <x v="18"/>
    <s v="RUA NOGUEIRA NEVES 22"/>
    <s v="CENTRO"/>
    <s v="CATAGUASES"/>
    <s v="36770-070"/>
    <d v="2022-02-01T00:00:00"/>
    <d v="2022-02-01T00:00:00"/>
    <n v="3"/>
    <s v="NÃO"/>
    <s v="SONAVOIP"/>
    <s v="SONAVOIP"/>
    <n v="877"/>
    <s v="LOJA CATAGUASES - MG"/>
    <x v="0"/>
  </r>
  <r>
    <n v="40324"/>
    <s v="LOJA CONSELHEIRO LAFAIETE-MG"/>
    <s v="VALDA CONCEICAO DE OLIVEIRA"/>
    <x v="20"/>
    <s v="MAYARA NOVAIS LOPES"/>
    <x v="18"/>
    <s v="RUA AFONSO PENA, 86 "/>
    <s v="CONSELHEIRO LAFAIETE"/>
    <s v="BELO HORIZONTE"/>
    <s v="36400-062"/>
    <d v="2022-01-17T00:00:00"/>
    <d v="2022-01-17T00:00:00"/>
    <n v="3"/>
    <s v="NÃO"/>
    <s v="SONAVOIP"/>
    <s v="SONAVOIP"/>
    <n v="878"/>
    <s v="LOJA CONSELHEIRO LAFAIETE- MG"/>
    <x v="0"/>
  </r>
  <r>
    <n v="45034"/>
    <s v="LOJA CONTAGEM - MG"/>
    <s v="CARLOS VINICIUS TEIXEIRA FRANCA"/>
    <x v="20"/>
    <s v="MAYARA NOVAIS LOPES"/>
    <x v="18"/>
    <s v="AV. LONDRES, 47 LOJA 1"/>
    <s v="ELDORADO"/>
    <s v="CONTAGEM"/>
    <s v="32340-570"/>
    <m/>
    <n v="0"/>
    <n v="4"/>
    <s v="NÃO"/>
    <s v="VERSÁTIL"/>
    <s v="BASE ÚNICA"/>
    <n v="745"/>
    <s v="LOJA CONTAGEM/MG"/>
    <x v="0"/>
  </r>
  <r>
    <n v="400012"/>
    <s v="LOJA MURIAE - MG"/>
    <s v="SABRINA DA SILVA SOUZA"/>
    <x v="20"/>
    <s v="MAYARA NOVAIS LOPES"/>
    <x v="18"/>
    <s v="RUA PASCOAL BERNARDINO, 231, LOJA C "/>
    <s v="CENTRO"/>
    <s v="MURIAE"/>
    <s v="36880-049"/>
    <d v="2022-03-14T00:00:00"/>
    <d v="2022-03-14T00:00:00"/>
    <n v="3"/>
    <s v="NÃO"/>
    <s v="SONAVOIP"/>
    <s v="SONAVOIP"/>
    <n v="882"/>
    <s v="LOJA MURIAE "/>
    <x v="0"/>
  </r>
  <r>
    <n v="45018"/>
    <s v="LOJA SANTA LUZIA - MG"/>
    <s v="JUCILEA LIDIA JANUÁRIO"/>
    <x v="20"/>
    <s v="MAYARA NOVAIS LOPES"/>
    <x v="18"/>
    <s v="AV. BRASILIA,  Nº 1838 LOJA 5"/>
    <s v="SÃO BENEDITO"/>
    <s v="SANTA LUZIA"/>
    <s v="33105-516"/>
    <m/>
    <n v="0"/>
    <n v="4"/>
    <s v="NÃO"/>
    <s v="VERSÁTIL"/>
    <s v="BASE ÚNICA"/>
    <n v="769"/>
    <s v="LOJA SANTA LUZIA/MG"/>
    <x v="0"/>
  </r>
  <r>
    <n v="400010"/>
    <s v="LOJA SANTOS DUMONT - MG"/>
    <s v="JESSICA FERREIRA FIGUEIREDO"/>
    <x v="20"/>
    <s v="MAYARA NOVAIS LOPES"/>
    <x v="18"/>
    <s v="PRAÇA CESARIO ALVIM, 17"/>
    <s v="CENTRO"/>
    <s v="SANTOS DUMONT"/>
    <s v="36240-000"/>
    <d v="2022-01-17T00:00:00"/>
    <d v="2022-01-17T00:00:00"/>
    <n v="3"/>
    <s v="NÃO"/>
    <s v="SONAVOIP"/>
    <s v="SONAVOIP"/>
    <n v="886"/>
    <s v="LOJA MOGI DAS CRUZES"/>
    <x v="0"/>
  </r>
  <r>
    <n v="92760"/>
    <s v="LOJA UBA - MG"/>
    <s v="LUCIANA VIEIRA PERON RODRIGUES"/>
    <x v="20"/>
    <s v="MAYARA NOVAIS LOPES"/>
    <x v="18"/>
    <s v="RUA CRISTIANO ROÇAS, 204 , LOJA 01"/>
    <s v="CENTRO"/>
    <s v="UBA"/>
    <s v="36500-000"/>
    <d v="2022-01-17T00:00:00"/>
    <d v="2022-01-17T00:00:00"/>
    <n v="3"/>
    <s v="NÃO"/>
    <s v="SONAVOIP"/>
    <s v="SONAVOIP"/>
    <n v="875"/>
    <s v="LOJA UBA - MG"/>
    <x v="0"/>
  </r>
  <r>
    <n v="400011"/>
    <s v="LOJA VIÇOSA - MG"/>
    <s v="JEAN CARLOS PEREIRA ASSIS"/>
    <x v="20"/>
    <s v="MAYARA NOVAIS LOPES"/>
    <x v="18"/>
    <s v="RUA DOUTOR MILTON BANDEIRA, 111, LOJA 06"/>
    <s v="CENTRO"/>
    <s v="VICOSA"/>
    <s v="36570-172"/>
    <d v="2022-02-28T00:00:00"/>
    <d v="2022-02-28T00:00:00"/>
    <n v="3"/>
    <s v="NÃO"/>
    <s v="SONAVOIP"/>
    <s v="SONAVOIP"/>
    <n v="883"/>
    <s v="LOJA VICOSA"/>
    <x v="0"/>
  </r>
  <r>
    <n v="96330"/>
    <s v="LOJA MANAUS - ALVORADA - AM"/>
    <s v=""/>
    <x v="21"/>
    <s v="MAYARA NOVAIS LOPES"/>
    <x v="6"/>
    <s v="AV. DESEMBARGADOR JOÃO MACHADO. Nº 340, LOJA B"/>
    <s v="ALVORADA"/>
    <s v="MANAUS"/>
    <m/>
    <m/>
    <m/>
    <n v="4"/>
    <m/>
    <s v="VERSÁTIL"/>
    <s v="TRONCO"/>
    <m/>
    <m/>
    <x v="0"/>
  </r>
  <r>
    <n v="96329"/>
    <s v="LOJA MANAUS - CHAPADA - AM"/>
    <s v=""/>
    <x v="21"/>
    <s v="MAYARA NOVAIS LOPES"/>
    <x v="6"/>
    <s v="AV. DJALMA BATISTA, Nº 327"/>
    <s v="CHAPADA"/>
    <s v="MANAUS"/>
    <m/>
    <m/>
    <m/>
    <n v="4"/>
    <m/>
    <s v="VERSÁTIL"/>
    <s v="TRONCO"/>
    <m/>
    <m/>
    <x v="0"/>
  </r>
  <r>
    <n v="96331"/>
    <s v="LOJA MANAUS - CIDADE NOVA - AM"/>
    <s v=""/>
    <x v="21"/>
    <s v="MAYARA NOVAIS LOPES"/>
    <x v="6"/>
    <s v="RUA PROFESSOR FELIX VALOIS 63"/>
    <s v="CIDADE NOVA"/>
    <s v="MANAUS"/>
    <m/>
    <m/>
    <m/>
    <n v="4"/>
    <m/>
    <s v="VERSÁTIL"/>
    <s v="TRONCO"/>
    <m/>
    <m/>
    <x v="0"/>
  </r>
  <r>
    <n v="96714"/>
    <s v="LOJA MANAUS - COMPENSA - AM"/>
    <s v=""/>
    <x v="21"/>
    <s v="MAYARA NOVAIS LOPES"/>
    <x v="6"/>
    <s v="AV. BRASIL 45, LOJA D"/>
    <s v="COMPENSA"/>
    <s v="MANAUS"/>
    <m/>
    <m/>
    <m/>
    <n v="4"/>
    <m/>
    <s v="VERSÁTIL"/>
    <s v="TRONCO"/>
    <m/>
    <m/>
    <x v="0"/>
  </r>
  <r>
    <n v="96328"/>
    <s v="LOJA MANAUS - EDUCANDOS - AM"/>
    <s v=""/>
    <x v="21"/>
    <s v="MAYARA NOVAIS LOPES"/>
    <x v="6"/>
    <s v="RUA LEOPOLDO PERES, 673"/>
    <s v="EDUCANDOS"/>
    <s v="MANAUS"/>
    <m/>
    <m/>
    <m/>
    <n v="4"/>
    <m/>
    <s v="VERSÁTIL"/>
    <s v="TRONCO"/>
    <m/>
    <m/>
    <x v="0"/>
  </r>
  <r>
    <n v="96713"/>
    <s v="LOJA MANAUS - SAO JOSE OPERARIO - AM "/>
    <s v=""/>
    <x v="21"/>
    <s v="MAYARA NOVAIS LOPES"/>
    <x v="6"/>
    <s v="AV. AUTAZ MIRIM, 5679"/>
    <s v="SÃO JOSÉ"/>
    <s v="MANAUS"/>
    <m/>
    <m/>
    <m/>
    <n v="5"/>
    <m/>
    <s v="VERSÁTIL"/>
    <s v="TRONCO"/>
    <m/>
    <m/>
    <x v="0"/>
  </r>
  <r>
    <n v="180007"/>
    <s v="LOJA ANANINDEUA - PA"/>
    <s v="ANTONIO STELYO DE ARAUJO BARBOSA"/>
    <x v="22"/>
    <s v="MAYARA NOVAIS LOPES"/>
    <x v="19"/>
    <s v="CONJUNTO CIDADE NOVA VII WE-64, 712, A"/>
    <s v="COQUEIRO"/>
    <s v="ANANINDEUA"/>
    <s v="67140-652"/>
    <d v="2022-04-27T00:00:00"/>
    <d v="2022-04-27T00:00:00"/>
    <n v="5"/>
    <s v="NÃO"/>
    <s v="SONAVOIP"/>
    <s v="SONAVOIP"/>
    <n v="481"/>
    <s v="LOJA ANANINDEUA - PA"/>
    <x v="0"/>
  </r>
  <r>
    <n v="17500"/>
    <s v="LOJA BELEM - PA"/>
    <s v="SUELLEM DOS SANTOS SANTANA LIMA"/>
    <x v="22"/>
    <s v="MAYARA NOVAIS LOPES"/>
    <x v="19"/>
    <s v="AV. PRESIDENTE VARGAS, 351, LOJA 345"/>
    <s v="BAIRRO CAMPINAS"/>
    <s v="BELEM"/>
    <s v="66010-095"/>
    <m/>
    <n v="0"/>
    <n v="7"/>
    <s v="NÃO"/>
    <s v="VERSÁTIL"/>
    <s v="TRONCO"/>
    <n v="226"/>
    <s v="LOJA BELEM/PA"/>
    <x v="0"/>
  </r>
  <r>
    <n v="600098"/>
    <s v="LOJA BRAGANÇA - PA"/>
    <s v="JAILTON ALVES DA SILVA"/>
    <x v="22"/>
    <s v="MAYARA NOVAIS LOPES"/>
    <x v="19"/>
    <s v="TRAVESSA VIGÁRIO MOTA Nº 10"/>
    <s v="CENTRO"/>
    <s v="BRAGANÇA "/>
    <s v="68600-000"/>
    <d v="2023-04-24T00:00:00"/>
    <d v="2023-04-24T00:00:00"/>
    <n v="4"/>
    <s v="NÃO"/>
    <s v="VERSÁTIL"/>
    <s v="BASE ÚNICA"/>
    <m/>
    <m/>
    <x v="0"/>
  </r>
  <r>
    <n v="17514"/>
    <s v="LOJA ICOARACI - PA"/>
    <s v="ELIZANGELA SORAIA DOS SANTOS SILVA"/>
    <x v="22"/>
    <s v="MAYARA NOVAIS LOPES"/>
    <x v="19"/>
    <s v="AV. DR. LOPO DE CASTRO, 293 A"/>
    <s v="ICOARACI"/>
    <s v="BELEM"/>
    <s v="66810-000"/>
    <d v="2021-05-03T00:00:00"/>
    <d v="2021-05-03T00:00:00"/>
    <n v="4"/>
    <s v="NÃO"/>
    <s v="VERSÁTIL"/>
    <s v="TRONCO"/>
    <n v="848"/>
    <s v="LOJA ICOARACI - PA"/>
    <x v="0"/>
  </r>
  <r>
    <n v="22001"/>
    <s v="LOJA MACAPA - AP"/>
    <s v="ELISANDREA CARVALHO VIDAL"/>
    <x v="22"/>
    <s v="MAYARA NOVAIS LOPES"/>
    <x v="20"/>
    <s v="AV. CORIOLANO JUCA, 157 A"/>
    <s v="CENTRAL"/>
    <s v="MACAPA"/>
    <s v="68900-101"/>
    <m/>
    <n v="0"/>
    <n v="4"/>
    <s v="NÃO"/>
    <s v="VERSÁTIL"/>
    <s v="BASE ÚNICA"/>
    <n v="287"/>
    <s v="LOJA MACAPA/AP"/>
    <x v="0"/>
  </r>
  <r>
    <n v="11303"/>
    <s v="LOJA CARIACICA - ES"/>
    <s v="JORDANA DIAS DA SILVA"/>
    <x v="23"/>
    <s v="THAYSA SANDIM DE SOUZA"/>
    <x v="21"/>
    <s v="AV EXPEDITO GARCIA 210/475 COM 02, PAV BL 01"/>
    <s v="CAMPO GRANDE"/>
    <s v="CARIACICA"/>
    <s v="29146-200"/>
    <d v="2020-11-03T00:00:00"/>
    <d v="2020-11-03T00:00:00"/>
    <n v="6"/>
    <s v="SIM"/>
    <s v="VERSÁTIL"/>
    <s v="BASE ÚNICA"/>
    <n v="815"/>
    <s v="LOJA CARIACICA - ES"/>
    <x v="0"/>
  </r>
  <r>
    <n v="11304"/>
    <s v="LOJA GUARAPARI - ES"/>
    <s v="DEBORA MARIANO DE ALMEIDA LIRA"/>
    <x v="23"/>
    <s v="THAYSA SANDIM DE SOUZA"/>
    <x v="21"/>
    <s v="RUA CUSTÓDIO GONÇALVES SANTOS 232"/>
    <s v="CENTRO"/>
    <s v="GUARAPARI"/>
    <s v="29200-280"/>
    <d v="2020-11-03T00:00:00"/>
    <d v="2020-11-03T00:00:00"/>
    <n v="4"/>
    <s v="SIM"/>
    <s v="VERSÁTIL"/>
    <s v="BASE ÚNICA"/>
    <n v="816"/>
    <s v="LOJA GUARAPARI - ES"/>
    <x v="0"/>
  </r>
  <r>
    <n v="9362"/>
    <s v="LOJA LINHARES - ES"/>
    <s v="VANEIVA DE NOVAIS VIEIRA"/>
    <x v="23"/>
    <s v="THAYSA SANDIM DE SOUZA"/>
    <x v="21"/>
    <s v="CAPITÃO JOSÉ MARIA, Nº 1.031, LOJA 02"/>
    <s v="CENTRO"/>
    <s v="LINHARES"/>
    <s v="29900-171"/>
    <d v="2020-11-03T00:00:00"/>
    <d v="2020-11-03T00:00:00"/>
    <n v="5"/>
    <s v="SIM"/>
    <s v="VERSÁTIL"/>
    <s v="BASE ÚNICA"/>
    <n v="812"/>
    <s v="LOJA LINHARES - ES"/>
    <x v="0"/>
  </r>
  <r>
    <n v="9360"/>
    <s v="LOJA SERRA - ES"/>
    <s v="Sem supervisor"/>
    <x v="23"/>
    <s v="THAYSA SANDIM DE SOUZA"/>
    <x v="21"/>
    <s v="RÔMULO CASTELO, Nº. 18, LOJA 01 B"/>
    <s v="CENTRO"/>
    <s v="SERRA"/>
    <s v="29176-080"/>
    <d v="2020-11-03T00:00:00"/>
    <d v="2020-11-03T00:00:00"/>
    <n v="6"/>
    <s v="SIM"/>
    <s v="VERSÁTIL"/>
    <s v="BASE ÚNICA"/>
    <n v="813"/>
    <s v="LOJA SERRA - ES"/>
    <x v="0"/>
  </r>
  <r>
    <n v="11950"/>
    <s v="LOJA VILA VELHA - ES"/>
    <s v="CAROLINE DOS SANTOS GOES"/>
    <x v="23"/>
    <s v="THAYSA SANDIM DE SOUZA"/>
    <x v="21"/>
    <s v="RODOVIA CARLOS LINDEMBERG 799, LOJA"/>
    <s v="GLORIA"/>
    <s v="VILA VELHA"/>
    <s v="29122-036"/>
    <m/>
    <n v="0"/>
    <n v="4"/>
    <s v="SIM"/>
    <s v="VERSÁTIL"/>
    <s v="BASE ÚNICA"/>
    <n v="725"/>
    <s v="LOJA VILA VELHA - ES"/>
    <x v="0"/>
  </r>
  <r>
    <n v="11900"/>
    <s v="LOJA VITORIA - ES"/>
    <s v="DALILA LOPES DA SILVA"/>
    <x v="23"/>
    <s v="THAYSA SANDIM DE SOUZA"/>
    <x v="21"/>
    <s v="RUA GONÇALVES DIAS, 20 - LOJA 02"/>
    <s v="CENTRO"/>
    <s v="VITORIA"/>
    <s v="29010-130"/>
    <m/>
    <n v="0"/>
    <n v="8"/>
    <s v="SIM"/>
    <s v="VERSÁTIL"/>
    <s v="BASE ÚNICA"/>
    <n v="215"/>
    <s v="LOJA VITORIA/ES"/>
    <x v="0"/>
  </r>
  <r>
    <n v="6000031"/>
    <s v="LOJA ANGRA DOS REIS - RJ"/>
    <s v="BRUNO EDUARDO LIMA SILVA"/>
    <x v="24"/>
    <s v="THAYSA SANDIM DE SOUZA"/>
    <x v="22"/>
    <s v="RUA DA CONCEIÇÃO 16"/>
    <s v="CENTRO"/>
    <s v="ANGRA DOS REIS"/>
    <s v="23900-437"/>
    <m/>
    <n v="0"/>
    <n v="4"/>
    <s v="NÃO"/>
    <s v="SONAVOIP"/>
    <s v="SONAVOIP"/>
    <n v="880"/>
    <s v="LOJA ANGRA DOS REIS - RJ"/>
    <x v="0"/>
  </r>
  <r>
    <n v="61019"/>
    <s v="LOJA BARRA DO PIRAI - RJ"/>
    <s v="MARIA FERNANDA DE AVELLAR SPOSITO"/>
    <x v="24"/>
    <s v="THAYSA SANDIM DE SOUZA"/>
    <x v="22"/>
    <s v="RUA GOVERNADOR PORTELA, Nº 229"/>
    <s v="CENTRO"/>
    <s v="BARRA DO PIRAI"/>
    <s v="27123-000"/>
    <d v="2021-04-12T00:00:00"/>
    <d v="2021-04-12T00:00:00"/>
    <n v="4"/>
    <s v="NÃO"/>
    <s v="VERSÁTIL"/>
    <s v="BASE ÚNICA"/>
    <n v="842"/>
    <s v="LOJA BARRA DO PIRAI - RJ"/>
    <x v="0"/>
  </r>
  <r>
    <n v="60495"/>
    <s v="LOJA BARRA MANSA - RJ"/>
    <s v="YASMIM APARECIDA DOS ANJOS PARANHOS"/>
    <x v="24"/>
    <s v="THAYSA SANDIM DE SOUZA"/>
    <x v="22"/>
    <s v="AV. JOAQUIM LEITE, Nº 509,EDIF SHOP E HOUSE, LJ 3"/>
    <s v="CENTRO"/>
    <s v="BARRA MANSA"/>
    <n v="0"/>
    <d v="2021-04-09T00:00:00"/>
    <d v="2021-04-09T00:00:00"/>
    <n v="4"/>
    <s v="NÃO"/>
    <s v="VERSÁTIL"/>
    <s v="BASE ÚNICA"/>
    <n v="851"/>
    <s v="LOJA BARRA MANSA - RJ"/>
    <x v="0"/>
  </r>
  <r>
    <n v="600046"/>
    <s v="LOJA CRUZEIRO - SP"/>
    <s v="DANIELE FERNANDES MARCONDES DE S. RIBEIRO"/>
    <x v="24"/>
    <s v="THAYSA SANDIM DE SOUZA"/>
    <x v="2"/>
    <s v="RUA ENGENHEIRO ANTONIO PENIDO, 699"/>
    <s v="CENTRO"/>
    <s v="CRUZEIRO"/>
    <s v="12701-050"/>
    <d v="2021-11-29T00:00:00"/>
    <d v="2021-11-29T00:00:00"/>
    <n v="5"/>
    <s v="NÃO"/>
    <s v="VERSÁTIL"/>
    <s v="BASE ÚNICA"/>
    <n v="410"/>
    <s v="LOJA CRUZEIRO - SP"/>
    <x v="0"/>
  </r>
  <r>
    <n v="600056"/>
    <s v="LOJA GUARATINGUETA - SP"/>
    <s v="DANIELLE MARIA FERREIRA DINIZ"/>
    <x v="24"/>
    <s v="THAYSA SANDIM DE SOUZA"/>
    <x v="2"/>
    <s v="RUA MONSENHOR FILIPPO, 170 - SALA 5"/>
    <s v="CENTRO"/>
    <s v="GUARATINGUETA"/>
    <s v="12501-410"/>
    <d v="2021-12-19T00:00:00"/>
    <d v="2021-12-19T00:00:00"/>
    <n v="4"/>
    <s v="NÃO"/>
    <s v="VERSÁTIL"/>
    <s v="BASE ÚNICA"/>
    <n v="884"/>
    <s v="LOJA GUARATINGUETA"/>
    <x v="0"/>
  </r>
  <r>
    <n v="600047"/>
    <s v="LOJA LORENA - SP"/>
    <s v="WILDSON ALVES FERREIRA"/>
    <x v="24"/>
    <s v="THAYSA SANDIM DE SOUZA"/>
    <x v="2"/>
    <s v="RUA SÃO BENEDITO, 107"/>
    <s v="CENTRO"/>
    <s v="LORENA"/>
    <s v="12600-010"/>
    <d v="2021-11-29T00:00:00"/>
    <d v="2021-11-29T00:00:00"/>
    <n v="4"/>
    <s v="NÃO"/>
    <s v="VERSÁTIL"/>
    <s v="BASE ÚNICA"/>
    <n v="885"/>
    <s v="LOJA LORENA"/>
    <x v="0"/>
  </r>
  <r>
    <n v="60498"/>
    <s v="LOJA RESENDE - RJ"/>
    <s v="SUELEN VIANA DOS SANTOS"/>
    <x v="24"/>
    <s v="THAYSA SANDIM DE SOUZA"/>
    <x v="22"/>
    <s v="AV. NOVA RESENDE Nº 31, LOJA 01"/>
    <s v="CAMPOS ELISEOS"/>
    <s v="RESENDE"/>
    <s v="27542-130"/>
    <d v="2021-04-12T00:00:00"/>
    <d v="2021-04-12T00:00:00"/>
    <n v="4"/>
    <s v="NÃO"/>
    <s v="VERSÁTIL"/>
    <s v="BASE ÚNICA"/>
    <n v="843"/>
    <s v="LOJA RESENDE - RJ"/>
    <x v="0"/>
  </r>
  <r>
    <n v="50733"/>
    <s v="LOJA SAO JOSE DOS CAMPOS - SP"/>
    <s v="CAROLINA APARECIDA DE OLIVEIRA OLIMPIO"/>
    <x v="24"/>
    <s v="THAYSA SANDIM DE SOUZA"/>
    <x v="2"/>
    <s v="RUA SETE DE SETEMBRO N° 290 2°ANDAR SALA 24"/>
    <s v="CENTRO"/>
    <s v="SAO JOSE DOS CAMPOS"/>
    <s v="12210-260"/>
    <m/>
    <n v="0"/>
    <n v="4"/>
    <s v="NÃO"/>
    <s v="VERSÁTIL"/>
    <s v="BASE ÚNICA"/>
    <n v="301"/>
    <s v="LOJA SAO JOSE DOS CAMPOS/SP"/>
    <x v="0"/>
  </r>
  <r>
    <n v="600057"/>
    <s v="LOJA TAUBATE - SP"/>
    <s v="DAIANE MARIANO DANTAS DE ARAUJO ESQUIVEL"/>
    <x v="24"/>
    <s v="THAYSA SANDIM DE SOUZA"/>
    <x v="2"/>
    <s v="RUA SACRAMENTO, 115, LOJA 02"/>
    <s v="CENTRO"/>
    <s v="TAUBATE"/>
    <s v="12010-010"/>
    <m/>
    <n v="0"/>
    <n v="4"/>
    <s v="NÃO"/>
    <s v="VERSÁTIL"/>
    <s v="BASE ÚNICA"/>
    <n v="888"/>
    <s v="LOJA TAUBATE"/>
    <x v="0"/>
  </r>
  <r>
    <n v="60007"/>
    <s v="LOJA VOLTA REDONDA - RJ"/>
    <s v="HELEN MAXIMIANO SANTOS"/>
    <x v="24"/>
    <s v="THAYSA SANDIM DE SOUZA"/>
    <x v="22"/>
    <s v="RUA GUSTAVO LIRA 334 , LOJA 02,04,05"/>
    <s v="CENTRO"/>
    <s v="VOLTA REDONDA"/>
    <s v="27253-280"/>
    <m/>
    <n v="0"/>
    <n v="6"/>
    <s v="NÃO"/>
    <s v="VERSÁTIL"/>
    <s v="TRONCO"/>
    <n v="292"/>
    <s v="LOJA VOLTA REDONDA/RJ"/>
    <x v="0"/>
  </r>
  <r>
    <n v="60494"/>
    <s v="LOJA VOLTA REDONDA II - RJ"/>
    <s v="LAURIANA MORAES DA CONCEICAO LEITE"/>
    <x v="24"/>
    <s v="THAYSA SANDIM DE SOUZA"/>
    <x v="22"/>
    <s v="RUA SAGRES, 27, LOJA 27"/>
    <s v="RETIRO"/>
    <s v="VOLTA REDONDA"/>
    <n v="0"/>
    <d v="2021-04-05T00:00:00"/>
    <d v="2021-04-05T00:00:00"/>
    <n v="4"/>
    <s v="NÃO"/>
    <s v="VERSÁTIL"/>
    <s v="TRONCO"/>
    <n v="853"/>
    <s v="LOJA VOLTA REDONDA II - RJ"/>
    <x v="0"/>
  </r>
  <r>
    <n v="60099"/>
    <s v="LOJA BANGU - RJ"/>
    <s v="NATANE FELIX DE OLIVEIRA"/>
    <x v="25"/>
    <s v="THAYSA SANDIM DE SOUZA"/>
    <x v="22"/>
    <s v="RUA SILVA CARDOSO 125, LOJA J"/>
    <s v="BANGU"/>
    <s v="RIO DE JANEIRO"/>
    <s v="21810-031"/>
    <d v="2021-07-12T00:00:00"/>
    <d v="2021-07-12T00:00:00"/>
    <n v="5"/>
    <s v="NÃO"/>
    <s v="VERSÁTIL"/>
    <s v="TRONCO"/>
    <n v="854"/>
    <s v="LOJA BANGU/RJ"/>
    <x v="0"/>
  </r>
  <r>
    <n v="61045"/>
    <s v="LOJA CAMPO GRANDE - RJ"/>
    <s v="THAIS DE ABREU SANTOS"/>
    <x v="25"/>
    <s v="THAYSA SANDIM DE SOUZA"/>
    <x v="22"/>
    <s v="AV. CESARIO DE MELO 3006, SALA 105 E 106"/>
    <s v="CAMPO GRANDE"/>
    <s v="RIO DE JANEIRO"/>
    <s v="23050-101"/>
    <d v="2021-05-03T00:00:00"/>
    <d v="2021-05-03T00:00:00"/>
    <n v="6"/>
    <s v="NÃO"/>
    <s v="VERSÁTIL"/>
    <s v="TRONCO"/>
    <n v="857"/>
    <s v="LOJA CAMPO GRANDE/RJ"/>
    <x v="0"/>
  </r>
  <r>
    <n v="60503"/>
    <s v="LOJA DUQUE DE CAXIAS - RJ"/>
    <s v="MARILIA GABRIELA LOPES FARIA"/>
    <x v="25"/>
    <s v="THAYSA SANDIM DE SOUZA"/>
    <x v="22"/>
    <s v="AV. BRIGADEIRO LIMA E SILVA 1526, LOJA E E F"/>
    <s v="JARDIM VINTE E CINCO DE AGOSTO"/>
    <s v="DUQUE DE CAXIAS"/>
    <s v="25071-182"/>
    <d v="2021-05-10T00:00:00"/>
    <d v="2021-05-10T00:00:00"/>
    <n v="6"/>
    <s v="NÃO"/>
    <s v="VERSÁTIL"/>
    <s v="BASE ÚNICA"/>
    <n v="861"/>
    <s v="LOJA DUQUE DE CAXIAS/RJ"/>
    <x v="0"/>
  </r>
  <r>
    <n v="60501"/>
    <s v="LOJA MADUREIRA - RJ"/>
    <s v="ROSILENE DA GLORIA MARTINS"/>
    <x v="25"/>
    <s v="THAYSA SANDIM DE SOUZA"/>
    <x v="22"/>
    <s v="TRAVESSA ALMERINDA FREITAS 41, LOJA B"/>
    <s v="MADUREIRA"/>
    <s v="RIO DE JANEIRO"/>
    <s v="21350-280"/>
    <d v="2021-06-14T00:00:00"/>
    <d v="2021-06-14T00:00:00"/>
    <n v="7"/>
    <s v="NÃO"/>
    <s v="VERSÁTIL"/>
    <s v="TRONCO"/>
    <n v="856"/>
    <s v="LOJA MADUREIRA/RJ"/>
    <x v="0"/>
  </r>
  <r>
    <n v="60502"/>
    <s v="LOJA MEIER - RJ"/>
    <s v="ANDREZA DA SILVA OLIVEIRA"/>
    <x v="25"/>
    <s v="THAYSA SANDIM DE SOUZA"/>
    <x v="22"/>
    <s v="RUA CONSTANÇA BARBOSA 96, LOJA E"/>
    <s v="MEIER"/>
    <s v="RIO DE JANEIRO"/>
    <s v="20735-090"/>
    <d v="2021-04-26T00:00:00"/>
    <d v="2021-04-26T00:00:00"/>
    <n v="4"/>
    <s v="NÃO"/>
    <s v="VERSÁTIL"/>
    <s v="TRONCO"/>
    <n v="858"/>
    <s v="LOJA MEIER/RJ"/>
    <x v="0"/>
  </r>
  <r>
    <n v="60500"/>
    <s v="LOJA NITEROI - RJ"/>
    <s v="FERNANDA CRISTINA DOS SANTOS PEREIRA"/>
    <x v="25"/>
    <s v="THAYSA SANDIM DE SOUZA"/>
    <x v="22"/>
    <s v="AVENIDA AMARAL PEIXOTO 36, LOJA 03"/>
    <s v="CENTRO"/>
    <s v="NITEROI"/>
    <s v="24020-074"/>
    <d v="2021-05-24T00:00:00"/>
    <d v="2021-05-24T00:00:00"/>
    <n v="5"/>
    <s v="NÃO"/>
    <s v="VERSÁTIL"/>
    <s v="BASE ÚNICA"/>
    <n v="862"/>
    <s v="LOJA NITEROI/RJ"/>
    <x v="0"/>
  </r>
  <r>
    <n v="60507"/>
    <s v="LOJA NOVA IGUAÇU - RJ"/>
    <s v="Sem supervisor"/>
    <x v="25"/>
    <s v="THAYSA SANDIM DE SOUZA"/>
    <x v="22"/>
    <s v="RUA DOM WALMOR, 11"/>
    <s v="CENTRO"/>
    <s v="NOVA IGUACU"/>
    <s v="26215-219"/>
    <m/>
    <n v="0"/>
    <n v="5"/>
    <s v="NÃO"/>
    <s v="VERSÁTIL"/>
    <s v="BASE ÚNICA"/>
    <n v="855"/>
    <s v="LOJA NOVA IGUAÇU/RJ"/>
    <x v="0"/>
  </r>
  <r>
    <n v="60900"/>
    <s v="LOJA RIO DE JANEIRO - RJ"/>
    <s v="CAROLINA HERNANDES FLORIDO DE SOUZA"/>
    <x v="25"/>
    <s v="THAYSA SANDIM DE SOUZA"/>
    <x v="22"/>
    <s v="RUA SETE DE SETEMBRO 98, LOJA H"/>
    <s v="CENTRO"/>
    <s v="RIO DE JANEIRO"/>
    <s v="20050-002"/>
    <m/>
    <n v="0"/>
    <n v="5"/>
    <s v="NÃO"/>
    <s v="VERSÁTIL"/>
    <s v="TRONCO"/>
    <n v="629"/>
    <s v="LOJA RIO DE JANEIRO/RJ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">
  <r>
    <n v="20990"/>
    <s v="LOJA ARARANGUA -  SC"/>
    <s v="JESSICA DIAS ZUCHINALI SANTANA"/>
    <x v="0"/>
    <s v="ADRIELE DA SILVA SOUZA"/>
    <s v="SC"/>
    <s v="RUA DR.VIRGULINO DE QUEIROZ, 215 SALA 2"/>
    <s v="CENTRO"/>
    <s v="ARARANGUA"/>
    <s v="88900-009"/>
    <m/>
  </r>
  <r>
    <n v="2222"/>
    <s v="LOJA BALNEARIO CAMBORIU - SC"/>
    <s v="ARISON SAM DE OLIVEIRA NEVES"/>
    <x v="0"/>
    <s v="ADRIELE DA SILVA SOUZA"/>
    <s v="SC"/>
    <s v="RUA 900,  13"/>
    <s v="CENTRO"/>
    <s v="BALNEARIO CAMBORIU"/>
    <s v="88300-604"/>
    <m/>
  </r>
  <r>
    <n v="2913"/>
    <s v="LOJA CHAPECO - SC"/>
    <s v="BRUNA KETLYN HELLGREN DE MOURA"/>
    <x v="0"/>
    <s v="ADRIELE DA SILVA SOUZA"/>
    <s v="SC"/>
    <s v="AVENIDA FERNANDO MACHADO, 380 D, SALA 01, EDIFÍCIO"/>
    <s v="CENTRO"/>
    <s v="CHAPECO"/>
    <s v="89802-110"/>
    <d v="2020-09-14T00:00:00"/>
  </r>
  <r>
    <n v="20987"/>
    <s v="LOJA CRICIUMA - SC"/>
    <s v="JULIANA MARCELLO"/>
    <x v="0"/>
    <s v="ADRIELE DA SILVA SOUZA"/>
    <s v="SC"/>
    <s v="SAO JOSE 135/07, B"/>
    <s v="CENTRO"/>
    <s v="CRICIUMA"/>
    <s v="88801-520"/>
    <m/>
  </r>
  <r>
    <n v="10331"/>
    <s v="LOJA ERECHIM - RS"/>
    <s v="MAGDA LUISA DA SILVA"/>
    <x v="1"/>
    <s v="ADRIELE DA SILVA SOUZA"/>
    <s v="RS"/>
    <s v="AV. SETE DE SETEMBRO, Nº 483"/>
    <s v="CENTRO"/>
    <s v="ERECHIM"/>
    <s v="99700-000"/>
    <d v="2020-09-01T00:00:00"/>
  </r>
  <r>
    <n v="2802"/>
    <s v="LOJA FLORIANOPOLIS - SC"/>
    <s v="DAIANE DA SILVA SOARES"/>
    <x v="0"/>
    <s v="ADRIELE DA SILVA SOUZA"/>
    <s v="SC"/>
    <s v="RUA DEODORO, 226 - SALA 101, EDIFÍCIO MARCO POLO"/>
    <s v="CENTRO"/>
    <s v="FLORIANOPOLIS"/>
    <s v="88010-020"/>
    <m/>
  </r>
  <r>
    <n v="200022"/>
    <s v="LOJA ITAJAI - SC"/>
    <s v="Sem supervisor"/>
    <x v="0"/>
    <s v="ADRIELE DA SILVA SOUZA"/>
    <s v="SC"/>
    <s v="RUA GIL STEIN FERREIRA, 303, SALA 1"/>
    <s v="CENTRO"/>
    <s v="ITAJAI"/>
    <s v="88301-210"/>
    <d v="2022-02-11T00:00:00"/>
  </r>
  <r>
    <n v="20959"/>
    <s v="LOJA JOINVILLE - SC"/>
    <s v="SAMARA CAROLINE FERREIRA"/>
    <x v="0"/>
    <s v="ADRIELE DA SILVA SOUZA"/>
    <s v="SC"/>
    <s v="dona Francisca 114"/>
    <s v="CENTRO "/>
    <s v="JOINVILLE"/>
    <s v="89201-250"/>
    <m/>
  </r>
  <r>
    <n v="2921"/>
    <s v="LOJA LAGUNA - SC"/>
    <s v="DAYANE MENDES LEONEL MARCELINO"/>
    <x v="0"/>
    <s v="ADRIELE DA SILVA SOUZA"/>
    <s v="SC"/>
    <s v="AV ENGENHEIRO COLOMBO MACHADO SALES, N° 108"/>
    <s v="CENTRO"/>
    <s v="LAGUNA"/>
    <s v="88790-000"/>
    <d v="2020-10-05T00:00:00"/>
  </r>
  <r>
    <n v="2918"/>
    <s v="LOJA PALHOÇA - SC"/>
    <s v="LUCIENE DOS SANTOS CARLOS"/>
    <x v="0"/>
    <s v="ADRIELE DA SILVA SOUZA"/>
    <s v="SC"/>
    <s v="AVENIDA BARÃO DO RIO BRANCO, Nº 56"/>
    <s v="CENTRO"/>
    <s v="PALHOCA"/>
    <s v="88130-101"/>
    <d v="2020-10-05T00:00:00"/>
  </r>
  <r>
    <n v="2945"/>
    <s v="LOJA SAO JOSE - SC"/>
    <s v="GEISA PEREIRA DE SOUSA"/>
    <x v="0"/>
    <s v="ADRIELE DA SILVA SOUZA"/>
    <s v="SC"/>
    <s v="RUA: DINARTE DOMINGUES,543 LOJA 07"/>
    <s v="CAMPINAS"/>
    <s v="SAO JOSE"/>
    <s v="88101-070"/>
    <m/>
  </r>
  <r>
    <n v="20989"/>
    <s v="LOJA TUBARÃO - SC"/>
    <s v="VANESSA ANDRADE LIMA DE SOUZA"/>
    <x v="0"/>
    <s v="ADRIELE DA SILVA SOUZA"/>
    <s v="SC"/>
    <s v="AV RODOVALHO, 12 SALA 02"/>
    <s v="CENTRO"/>
    <s v="TUBARAO"/>
    <s v="88701-170"/>
    <m/>
  </r>
  <r>
    <n v="10332"/>
    <s v="LOJA CARAZINHO - RS"/>
    <s v="ANDERSON SANDERSON TURELA"/>
    <x v="1"/>
    <s v="ADRIELE DA SILVA SOUZA"/>
    <s v="RS"/>
    <s v="AV FLORES DA CUNHA, 1184 - SALA 101"/>
    <s v="CENTRO"/>
    <s v="CARAZINHO"/>
    <s v="99500-000"/>
    <d v="2020-09-01T00:00:00"/>
  </r>
  <r>
    <n v="19715"/>
    <s v="LOJA CRUZ ALTA - RS"/>
    <s v="Sem supervisor"/>
    <x v="1"/>
    <s v="ADRIELE DA SILVA SOUZA"/>
    <s v="RS"/>
    <s v="RUA PINHEIRO MACHADO 865, SL 1"/>
    <s v="CENTRO"/>
    <s v="CRUZ ALTA"/>
    <s v="98005-000"/>
    <m/>
  </r>
  <r>
    <n v="1423"/>
    <s v="LOJA IJUI 1 - RS"/>
    <s v="ALINE SAULIT DA SILVEIRA"/>
    <x v="2"/>
    <s v="ADRIELE DA SILVA SOUZA"/>
    <s v="RS"/>
    <s v="RUA 15 DE NOVEMBRO, 217 - SALA 01"/>
    <s v="CENTRO"/>
    <s v="IJUI"/>
    <s v="98700-000"/>
    <m/>
  </r>
  <r>
    <n v="19777"/>
    <s v="LOJA PASSO FUNDO - RS"/>
    <s v="TIEREN ROQUE IUNG"/>
    <x v="1"/>
    <s v="ADRIELE DA SILVA SOUZA"/>
    <s v="RS"/>
    <s v="R. INDEPENDÊNCIA, 684 "/>
    <s v="CENTRO"/>
    <s v="PASSO FUNDO"/>
    <s v="99010-040"/>
    <m/>
  </r>
  <r>
    <n v="10333"/>
    <s v="LOJA PASSO FUNDO 2 - RS"/>
    <s v="EDSON JOEL CAVALHEIRO"/>
    <x v="1"/>
    <s v="ADRIELE DA SILVA SOUZA"/>
    <s v="RS"/>
    <s v="RUA CEL. CHICUTA, Nº 436, LOJA 8"/>
    <s v="CENTRO"/>
    <s v="PASSO FUNDO"/>
    <s v="99010-051"/>
    <d v="2020-09-08T00:00:00"/>
  </r>
  <r>
    <n v="10650"/>
    <s v="LOJA SANTA ROSA - RS"/>
    <s v="ANA PAULA BAGETI"/>
    <x v="2"/>
    <s v="ADRIELE DA SILVA SOUZA"/>
    <s v="RS"/>
    <s v="RUA CRISTÓVÃO COLOMBO, 325 - LOJA 01"/>
    <s v="CENTRO"/>
    <s v="SANTA ROSA"/>
    <s v="98780-106"/>
    <m/>
  </r>
  <r>
    <n v="19709"/>
    <s v="LOJA SANTO ÂNGELO - RS"/>
    <s v="LUCIMARA ROSALDA EICH"/>
    <x v="2"/>
    <s v="ADRIELE DA SILVA SOUZA"/>
    <s v="RS"/>
    <s v="RUA 25 DE JULHO 584, SL 3"/>
    <s v="CENTRO"/>
    <s v="SANTO ANGELO"/>
    <s v="98801-670"/>
    <m/>
  </r>
  <r>
    <n v="19890"/>
    <s v="LOJA SOLEDADE - RS"/>
    <s v="Sem supervisor"/>
    <x v="1"/>
    <s v="ADRIELE DA SILVA SOUZA"/>
    <s v="RS"/>
    <s v="AV MAL FLORIANO PEIXOTO, 1063"/>
    <s v="CENTRO"/>
    <s v="SOLEDADE"/>
    <s v="99300-000"/>
    <m/>
  </r>
  <r>
    <n v="10201"/>
    <s v="LOJA ALEGRETE - RS"/>
    <s v="JESSICA RODRIGUES BENCKE GUTERRES"/>
    <x v="2"/>
    <s v="ADRIELE DA SILVA SOUZA"/>
    <s v="RS"/>
    <s v="R VASCO ALVES, 184 - SALA 3"/>
    <s v="CENTRO"/>
    <s v="ALEGRETE"/>
    <s v="97542-600"/>
    <m/>
  </r>
  <r>
    <n v="1407"/>
    <s v="LOJA CACHOEIRA DO SUL - RS"/>
    <s v="JESSICA DE ALMEIDA OLIVEIRA"/>
    <x v="1"/>
    <s v="ADRIELE DA SILVA SOUZA"/>
    <s v="RS"/>
    <s v="SETE DE SETEMBRO, Nº 1438"/>
    <s v="CENTRO"/>
    <s v="CACHOEIRA DO SUL"/>
    <s v="96508-010"/>
    <m/>
  </r>
  <r>
    <n v="10600"/>
    <s v="LOJA ITAQUI - RS"/>
    <s v="DEBORA MENDES DE FREITAS"/>
    <x v="2"/>
    <s v="ADRIELE DA SILVA SOUZA"/>
    <s v="RS"/>
    <s v="RUA BORGES DO CANTO,  Nº 1056"/>
    <s v="CENTRO"/>
    <s v="ITAQUI"/>
    <s v="97650-000"/>
    <m/>
  </r>
  <r>
    <n v="19710"/>
    <s v="LOJA ROSARIO DO SUL"/>
    <s v="SARA GRACIELE DE OLIVEIRA VELASQUES"/>
    <x v="2"/>
    <s v="ADRIELE DA SILVA SOUZA"/>
    <s v="RS"/>
    <s v="RUA MARECHAL FLORIANO PEIXOTO 2401"/>
    <s v="CENTRO"/>
    <s v="ROSARIO DO SUL"/>
    <s v="97590-000"/>
    <m/>
  </r>
  <r>
    <n v="1449"/>
    <s v="LOJA SANTA MARIA - RS"/>
    <s v="DEBORA LOPES FROHNHOFER"/>
    <x v="1"/>
    <s v="ADRIELE DA SILVA SOUZA"/>
    <s v="RS"/>
    <s v="RUA VENANCIO AIRES, Nº 1745 -LOJA B"/>
    <s v="CENTRO"/>
    <s v="SANTA MARIA"/>
    <s v="97010-003"/>
    <m/>
  </r>
  <r>
    <n v="10604"/>
    <s v="LOJA SANTIAGO  - RS"/>
    <s v="FABIOLA DAL ROSSO"/>
    <x v="2"/>
    <s v="ADRIELE DA SILVA SOUZA"/>
    <s v="RS"/>
    <s v="RUA PINHEIRO MACHADO, 2034"/>
    <s v="CENTRO"/>
    <s v="SANTIAGO"/>
    <s v="97700-215"/>
    <m/>
  </r>
  <r>
    <n v="10897"/>
    <s v="LOJA SAO BORJA - RS"/>
    <s v="SIDIANE FALCAO ARDAIS"/>
    <x v="2"/>
    <s v="ADRIELE DA SILVA SOUZA"/>
    <s v="RS"/>
    <s v="RUA CANDIDO FALCÃO, Nº 1086"/>
    <s v="CENTRO"/>
    <s v="SAO BORJA"/>
    <s v="97670-000"/>
    <m/>
  </r>
  <r>
    <n v="10330"/>
    <s v="LOJA SÃO GABRIEL - RS"/>
    <s v="JESSICA VENUTA DE RODRIGUES NEVES"/>
    <x v="2"/>
    <s v="ADRIELE DA SILVA SOUZA"/>
    <s v="RS"/>
    <s v="CORONEL SEZEFREDO Nº 791"/>
    <s v="CENTRO"/>
    <s v="SAO GABRIEL"/>
    <s v="97300-222"/>
    <d v="2020-09-21T00:00:00"/>
  </r>
  <r>
    <n v="1485"/>
    <s v="LOJA URUGUAIANA - RS"/>
    <s v="ELIZANGELA DE OLIVEIRA WITT"/>
    <x v="2"/>
    <s v="ADRIELE DA SILVA SOUZA"/>
    <s v="RS"/>
    <s v="SANTANA Nº 2800"/>
    <s v="CENTRO"/>
    <s v="URUGUAIANA"/>
    <s v="97501-504"/>
    <m/>
  </r>
  <r>
    <n v="1487"/>
    <s v="LOJA CAMPO BOM - RS"/>
    <s v="LEONARA FABRICIA DOS SANTOS"/>
    <x v="3"/>
    <s v="ADRIELE DA SILVA SOUZA"/>
    <s v="RS"/>
    <s v="AV BRASIL 3054 SALA 3 A"/>
    <s v="CENTRO"/>
    <s v="CAMPO BOM"/>
    <s v="93700-000"/>
    <m/>
  </r>
  <r>
    <n v="1416"/>
    <s v="LOJA IGREJINHA - RS"/>
    <s v="JONAS DIAS DA SILVEIRA"/>
    <x v="3"/>
    <s v="ADRIELE DA SILVA SOUZA"/>
    <s v="RS"/>
    <s v="RUA 1º DE JUNHO, 141 - SALA 01"/>
    <s v="CENTRO"/>
    <s v="IGREJINHA"/>
    <s v="95650-000"/>
    <m/>
  </r>
  <r>
    <n v="1500"/>
    <s v="LOJA PORTO ALEGRE - ASSIS BRASIL - RS"/>
    <s v="CASSIA DA SILVA SILVEIRA"/>
    <x v="3"/>
    <s v="ADRIELE DA SILVA SOUZA"/>
    <s v="RS"/>
    <s v="AV. ASSIS BRASIL, 2654 - LOJA 07"/>
    <s v="CRISTO REDENTOR"/>
    <s v="PORTO ALEGRE"/>
    <s v="91060-290"/>
    <m/>
  </r>
  <r>
    <n v="19778"/>
    <s v="LOJA PORTO ALEGRE - VIGARIO - RS"/>
    <s v="SHAIENE DA CRUZ XAVIER"/>
    <x v="3"/>
    <s v="ADRIELE DA SILVA SOUZA"/>
    <s v="RS"/>
    <s v="VIGÁRIO JOSE INÁCIO, 258"/>
    <s v="CENTRO HISTÓRICO"/>
    <s v="PORTO ALEGRE"/>
    <s v="90020-100"/>
    <m/>
  </r>
  <r>
    <n v="1424"/>
    <s v="LOJA ROLANTE - RS"/>
    <s v="DEBORA DAIANA MARTINI"/>
    <x v="3"/>
    <s v="ADRIELE DA SILVA SOUZA"/>
    <s v="RS"/>
    <s v="AV. BORGES DE MEDEIROS, 1909"/>
    <s v="CENTRO"/>
    <s v="ROLANTE"/>
    <s v="95690-000"/>
    <m/>
  </r>
  <r>
    <n v="1427"/>
    <s v="LOJA SANTO ANTONIO DA PATRULHA - RS"/>
    <s v="LUCAS GABRIEL FAGUNDES DE SOUZA DA SILVA"/>
    <x v="3"/>
    <s v="ADRIELE DA SILVA SOUZA"/>
    <s v="RS"/>
    <s v="AV.PAULO MACIEL DE MORAES 1040"/>
    <s v="CENTRO"/>
    <s v="SANTO ANTONIO DA PATRULHA"/>
    <s v="95500-000"/>
    <m/>
  </r>
  <r>
    <n v="1403"/>
    <s v="LOJA SAPIRANGA - RS"/>
    <s v="KAREN FRANCIELEN RODRIGUES JARDIM"/>
    <x v="3"/>
    <s v="ADRIELE DA SILVA SOUZA"/>
    <s v="RS"/>
    <s v="AV VINTE DE SETEMBRO, 3801 SALA 06"/>
    <s v="CENTRO"/>
    <s v="SAPIRANGA"/>
    <s v="93800-238"/>
    <m/>
  </r>
  <r>
    <n v="1420"/>
    <s v="LOJA TAQUARA - RS"/>
    <s v="LUIZ HENRIQUE BRANDALIZE"/>
    <x v="3"/>
    <s v="ADRIELE DA SILVA SOUZA"/>
    <s v="RS"/>
    <s v="RUA GUILHERME LAHN, 1282"/>
    <s v="CENTRO"/>
    <s v="TAQUARA"/>
    <s v="95600-104"/>
    <m/>
  </r>
  <r>
    <n v="1497"/>
    <s v="LOJA TORRES - RS"/>
    <s v="JULIE BARBOSA"/>
    <x v="3"/>
    <s v="ADRIELE DA SILVA SOUZA"/>
    <s v="RS"/>
    <s v="XV DE NOVEMBRO 212 LOJA 01"/>
    <s v="CENTRO"/>
    <s v="TORRES"/>
    <s v="95560-000"/>
    <m/>
  </r>
  <r>
    <n v="1496"/>
    <s v="LOJA TRAMANDAI - RS"/>
    <s v="MIKE SANTOLIN DA SILVA"/>
    <x v="3"/>
    <s v="ADRIELE DA SILVA SOUZA"/>
    <s v="RS"/>
    <s v="FERNANDES BASTOS 329 SALA 28 E 29"/>
    <s v="CENTRO"/>
    <s v="TRAMANDAI"/>
    <s v="95590-000"/>
    <m/>
  </r>
  <r>
    <n v="19714"/>
    <s v="LOJA TRES COROAS - RS"/>
    <s v="RAFAEL LEMOS"/>
    <x v="3"/>
    <s v="ADRIELE DA SILVA SOUZA"/>
    <s v="RS"/>
    <s v="RUA MUNDO NOVO 188"/>
    <s v="CENTRO"/>
    <s v="TRES COROAS"/>
    <s v="95660-000"/>
    <m/>
  </r>
  <r>
    <n v="1402"/>
    <s v="LOJA CANOAS - CENTRO - RS"/>
    <s v="MICHELE MARTINS DOS SANTOS"/>
    <x v="4"/>
    <s v="ADRIELE DA SILVA SOUZA"/>
    <s v="RS"/>
    <s v="RUA TIRADENTES, 216 - LOJA 06"/>
    <s v="CENTRO"/>
    <s v="CANOAS"/>
    <s v="92010-260"/>
    <m/>
  </r>
  <r>
    <n v="1458"/>
    <s v="LOJA CANOAS - GUAJUVIRAS - RS"/>
    <s v="FABIELI DE ARAUJO VIEIRA MARTINS"/>
    <x v="4"/>
    <s v="ADRIELE DA SILVA SOUZA"/>
    <s v="RS"/>
    <s v="RUA BOQUEIRÃO Nº 706 SALA 02"/>
    <s v="GUAJUVIRAS"/>
    <s v="CANOAS"/>
    <s v="92032-420"/>
    <m/>
  </r>
  <r>
    <n v="1421"/>
    <s v="LOJA ESTEIO - RS"/>
    <s v="JIANINI DA SILVA MARIN"/>
    <x v="4"/>
    <s v="ADRIELE DA SILVA SOUZA"/>
    <s v="RS"/>
    <s v="AV. PRESIDENTE VARGAS,2123"/>
    <s v="CENTRO"/>
    <s v="ESTEIO"/>
    <s v="93270-580"/>
    <m/>
  </r>
  <r>
    <n v="1476"/>
    <s v="LOJA NOVO HAMBURGO - RS"/>
    <s v="JESSICA LUANA SIQUEIRA COELHO"/>
    <x v="4"/>
    <s v="ADRIELE DA SILVA SOUZA"/>
    <s v="RS"/>
    <s v="AV CALCADAO OSVALDO CRUZ, 127"/>
    <s v="CENTRO"/>
    <s v="NOVO HAMBURGO"/>
    <s v="93510-015"/>
    <m/>
  </r>
  <r>
    <n v="10678"/>
    <s v="LOJA NOVO HAMBURGO 2 - RS"/>
    <s v="ALEX SANDER MAUZER MACEDO"/>
    <x v="4"/>
    <s v="ADRIELE DA SILVA SOUZA"/>
    <s v="RS"/>
    <s v="RUA BENTO GONÇALVES, 2423, SALA 01"/>
    <s v="CENTRO"/>
    <s v="NOVO HAMBURGO"/>
    <s v="93510-000"/>
    <m/>
  </r>
  <r>
    <n v="1417"/>
    <s v="LOJA SAO LEOPOLDO - RS"/>
    <s v="FERNANDA COSTA DA ROCHA "/>
    <x v="4"/>
    <s v="ADRIELE DA SILVA SOUZA"/>
    <s v="RS"/>
    <s v="RUA INDEPENDENCIA, 636 - LOJA 6"/>
    <s v="CENTRO"/>
    <s v="SAO LEOPOLDO"/>
    <s v="93010-002"/>
    <m/>
  </r>
  <r>
    <n v="10627"/>
    <s v="LOJA SAO LEOPOLDO II - RS"/>
    <s v="MARISANGELA SCHIEFELBEIN"/>
    <x v="4"/>
    <s v="ADRIELE DA SILVA SOUZA"/>
    <s v="RS"/>
    <s v="RUA LINDOLFO COLLOR, Nº 789 SALA 1"/>
    <s v="CENTRO"/>
    <s v="SAO LEOPOLDO"/>
    <s v="93010-080"/>
    <m/>
  </r>
  <r>
    <n v="1418"/>
    <s v="LOJA SAPUCAIA DO SUL I - RS"/>
    <s v="MAGLUSON SCHARDONG MATOZO"/>
    <x v="4"/>
    <s v="ADRIELE DA SILVA SOUZA"/>
    <s v="RS"/>
    <s v="RUA: CEL. JOÃO CORRÊA, 23 LOJA 05"/>
    <s v="CENTRO"/>
    <s v="SAPUCAIA DO SUL"/>
    <s v="93220-100"/>
    <m/>
  </r>
  <r>
    <n v="1419"/>
    <s v="LOJA SAPUCAIA DO SUL II - RS"/>
    <s v="BRUNA DE ARAUJO VIEIRA DA ROSA"/>
    <x v="4"/>
    <s v="ADRIELE DA SILVA SOUZA"/>
    <s v="RS"/>
    <s v="AVENIDA SAPUCAIA, 2089 "/>
    <s v="CENTRO"/>
    <s v="SAPUCAIA DO SUL"/>
    <s v="93210-240"/>
    <m/>
  </r>
  <r>
    <n v="600076"/>
    <s v="LOJA DIADEMA - SP"/>
    <s v="JOSE ULISSES FELIX DA SILVA"/>
    <x v="5"/>
    <s v="CINARA REGINA KEMERICH"/>
    <s v="SP"/>
    <s v="RUA NOSSA SENHORA DAS VITORIAS, 79"/>
    <s v="CENTRO"/>
    <s v="DIADEMA"/>
    <s v="09910-140"/>
    <d v="2022-03-28T00:00:00"/>
  </r>
  <r>
    <n v="600075"/>
    <s v="LOJA MAUA - SP"/>
    <s v="CINDY MAGALI DE SANTO DELGADO"/>
    <x v="5"/>
    <s v="CINARA REGINA KEMERICH"/>
    <s v="SP"/>
    <s v="RUA RUI BARBOSA, 35"/>
    <s v="CENTRO"/>
    <s v="MAUA"/>
    <s v="09390-000"/>
    <d v="2022-04-11T00:00:00"/>
  </r>
  <r>
    <n v="600080"/>
    <s v="LOJA MOGI DAS CRUZES - SP"/>
    <s v="SIDNEY GOMES JUNIOR"/>
    <x v="6"/>
    <s v="CINARA REGINA KEMERICH"/>
    <s v="SP"/>
    <s v="RUA JOSÉ BONIFACIO, 178"/>
    <s v="CENTRO"/>
    <s v="MOGI DAS CRUZES"/>
    <s v="08710-070"/>
    <d v="2022-04-04T00:00:00"/>
  </r>
  <r>
    <n v="5503"/>
    <s v="LOJA PRAIA GRANDE - SP"/>
    <s v="LETICIA URBANO DE JESUS NEVES"/>
    <x v="5"/>
    <s v="CINARA REGINA KEMERICH"/>
    <s v="SP"/>
    <s v="RUA DR VICENTE DE CARVALHO, 531 LOJA 4"/>
    <s v="OCIAN"/>
    <s v="PRAIA GRANDE"/>
    <s v="11704-300"/>
    <m/>
  </r>
  <r>
    <n v="600077"/>
    <s v="LOJA SANTO ANDRE - SP"/>
    <s v="ELAINE CRISTINA ALVES DA SILVA"/>
    <x v="5"/>
    <s v="CINARA REGINA KEMERICH"/>
    <s v="SP"/>
    <s v="RUA CORONEL FRANCISCO AMARO, 267, SL 2 EDIF. FRANC"/>
    <s v="CENTRO"/>
    <s v="SANTO ANDRE"/>
    <s v="09020-250"/>
    <d v="2022-04-26T00:00:00"/>
  </r>
  <r>
    <n v="50731"/>
    <s v="LOJA SANTOS - SP"/>
    <s v="SILVANA DE FATIMA CENCI"/>
    <x v="5"/>
    <s v="CINARA REGINA KEMERICH"/>
    <s v="SP"/>
    <s v="RUA FREI GASPAR, 83"/>
    <s v="CENTRO"/>
    <s v="SANTOS"/>
    <s v="11010-090"/>
    <m/>
  </r>
  <r>
    <n v="600078"/>
    <s v="LOJA SAO CAETANO - SP"/>
    <s v="JOAO GABRIEL SANTANA SANTOS"/>
    <x v="6"/>
    <s v="CINARA REGINA KEMERICH"/>
    <s v="SP"/>
    <s v="RUA MANOEL COELHO, 325, LOJA 20"/>
    <s v="CENTRO"/>
    <s v="SAO CAETANO DO SUL"/>
    <s v="09510-110"/>
    <d v="2022-04-26T00:00:00"/>
  </r>
  <r>
    <n v="50400"/>
    <s v="LOJA SAO VICENTE - SP"/>
    <s v="DARLANE MACEDO FRAGA"/>
    <x v="5"/>
    <s v="CINARA REGINA KEMERICH"/>
    <s v="SP"/>
    <s v="RUA JACOB EMERICK, 393 LOJA 2"/>
    <s v="CENTRO"/>
    <s v="SAO VICENTE"/>
    <s v="11310-010"/>
    <m/>
  </r>
  <r>
    <n v="600064"/>
    <s v="LOJA SUZANO SP"/>
    <s v="Sem supervisor"/>
    <x v="7"/>
    <s v="CINARA REGINA KEMERICH"/>
    <s v="SP"/>
    <s v="RUA GERERAL FRANCISCO GLICERIO 950"/>
    <s v="CENTRO"/>
    <s v="SUZANO"/>
    <s v="08674-002"/>
    <d v="2021-12-14T00:00:00"/>
  </r>
  <r>
    <n v="50809"/>
    <s v="LOJA ARARAQUARA - SP"/>
    <s v="KAREN GOMES DE OLIVEIRA"/>
    <x v="8"/>
    <s v="CINARA REGINA KEMERICH"/>
    <s v="SP"/>
    <s v="AV.FEIJO Nº 336 "/>
    <s v="CENTRO"/>
    <s v="ARARAQUARA"/>
    <s v="14801-140"/>
    <m/>
  </r>
  <r>
    <n v="54469"/>
    <s v="LOJA BARAO GERALDO - SP"/>
    <s v="HEVELINS CARVALHO DA SILVA"/>
    <x v="9"/>
    <s v="CINARA REGINA KEMERICH"/>
    <s v="SP"/>
    <s v="Rua Horácio Leonardi 92"/>
    <s v="BARÃO GERALDO"/>
    <s v="CAMPINAS"/>
    <s v="13084-105"/>
    <d v="2022-04-04T00:00:00"/>
  </r>
  <r>
    <n v="53556"/>
    <s v="LOJA BAURU - SP"/>
    <s v="NATALIA NOVELLI"/>
    <x v="8"/>
    <s v="CINARA REGINA KEMERICH"/>
    <s v="SP"/>
    <s v="RUA TREZE DE MAIO, N 3-20 "/>
    <s v="CENTRO"/>
    <s v="BAURU"/>
    <s v="17010-230"/>
    <m/>
  </r>
  <r>
    <n v="5502"/>
    <s v="LOJA CAMPINAS - SP"/>
    <s v="Sem supervisor"/>
    <x v="9"/>
    <s v="CINARA REGINA KEMERICH"/>
    <s v="SP"/>
    <s v="RUA JOSÉ PAULINO Nº 753"/>
    <s v="CENTRO"/>
    <s v="CAMPINAS"/>
    <s v="13013-001"/>
    <m/>
  </r>
  <r>
    <n v="54464"/>
    <s v="LOJA JAU - SP"/>
    <s v="LIDIA BRUNA AMADEU XAVIER"/>
    <x v="8"/>
    <s v="CINARA REGINA KEMERICH"/>
    <s v="SP"/>
    <s v="LOURENÇO PRADO, Nº 236 "/>
    <s v="CENTRO"/>
    <s v="JAU"/>
    <s v="17201-000"/>
    <d v="2021-01-25T00:00:00"/>
  </r>
  <r>
    <n v="54465"/>
    <s v="LOJA LIMEIRA - SP"/>
    <s v="EVA MONICA RAFAELA ALVES"/>
    <x v="9"/>
    <s v="CINARA REGINA KEMERICH"/>
    <s v="SP"/>
    <s v="PRAÇA TOLEDO BARROS, Nº 296"/>
    <s v="CENTRO"/>
    <s v="LIMEIRA"/>
    <s v="13480-008"/>
    <d v="2021-01-18T00:00:00"/>
  </r>
  <r>
    <n v="54466"/>
    <s v="LOJA MARILIA - SP"/>
    <s v="Sem supervisor"/>
    <x v="8"/>
    <s v="CINARA REGINA KEMERICH"/>
    <s v="SP"/>
    <s v="AV SAMPAIO VIDAL, Nº 851"/>
    <s v="CENTRO"/>
    <s v="MARILIA"/>
    <s v="17525-040"/>
    <d v="2021-01-18T00:00:00"/>
  </r>
  <r>
    <n v="54471"/>
    <s v="LOJA OURINHOS - SP"/>
    <s v="Sem supervisor"/>
    <x v="8"/>
    <s v="CINARA REGINA KEMERICH"/>
    <s v="SP"/>
    <s v="AV. DOUTOR ALTINO ARANTES, 180"/>
    <s v="CENTRO"/>
    <s v="OURINHOS"/>
    <s v="19900-041"/>
    <d v="2021-02-15T00:00:00"/>
  </r>
  <r>
    <n v="54444"/>
    <s v="LOJA PIRACICABA - SP"/>
    <s v="ROSEMEIRE GUERRERO NEVES"/>
    <x v="9"/>
    <s v="CINARA REGINA KEMERICH"/>
    <s v="SP"/>
    <s v="PRAÇA JOSÉ BONIFÁCIO, 813"/>
    <s v="CENTRO"/>
    <s v="PIRACICABA"/>
    <s v="13400-340"/>
    <d v="2021-01-18T00:00:00"/>
  </r>
  <r>
    <n v="50499"/>
    <s v="LOJA RIBEIRAO PRETO - SP"/>
    <s v="JEFERSON CARLOS BOA PIMENTA"/>
    <x v="8"/>
    <s v="CINARA REGINA KEMERICH"/>
    <s v="SP"/>
    <s v="RUA AMADOR BUENO Nº 620"/>
    <s v="CENTRO"/>
    <s v="RIBEIRAO PRETO"/>
    <s v="14010-070"/>
    <m/>
  </r>
  <r>
    <n v="54467"/>
    <s v="LOJA RIO CLARO - SP"/>
    <s v="THAINA MARCHI CONEJO"/>
    <x v="9"/>
    <s v="CINARA REGINA KEMERICH"/>
    <s v="SP"/>
    <s v="Rua 04, 1143"/>
    <s v="CENTRO"/>
    <s v="RIO CLARO"/>
    <s v="13500-170"/>
    <d v="2021-01-18T00:00:00"/>
  </r>
  <r>
    <n v="54468"/>
    <s v="LOJA SÃO CARLOS - SP"/>
    <s v="VITORIA FAION STETER"/>
    <x v="9"/>
    <s v="CINARA REGINA KEMERICH"/>
    <s v="SP"/>
    <s v="AV SÃO CARLOS, Nº 1175"/>
    <s v="CENTRO"/>
    <s v="SAO CARLOS"/>
    <s v="13560-010"/>
    <d v="2021-02-01T00:00:00"/>
  </r>
  <r>
    <n v="50590"/>
    <s v="LOJA SAO JOSE DO RIO PRETO - SP"/>
    <s v="NORIVAL JUNIOR PIRRI"/>
    <x v="8"/>
    <s v="CINARA REGINA KEMERICH"/>
    <s v="SP"/>
    <s v="GENERAL GLICÉRIO Nº 3181 "/>
    <s v="CENTRO"/>
    <s v="SAO JOSE DO RIO PRETO"/>
    <s v="15015-400"/>
    <m/>
  </r>
  <r>
    <n v="50850"/>
    <s v="LOJA SUMARE - SP"/>
    <s v="Sem supervisor"/>
    <x v="9"/>
    <s v="CINARA REGINA KEMERICH"/>
    <s v="SP"/>
    <s v="ANTONIO DO VALE MELLO Nº 658"/>
    <s v="CENTRO"/>
    <s v="SUMARE"/>
    <s v="13170-010"/>
    <m/>
  </r>
  <r>
    <n v="6000034"/>
    <s v="LOJA VALINHOS - SP"/>
    <s v="MYLENA CRISTINA PINHEIRO"/>
    <x v="9"/>
    <s v="CINARA REGINA KEMERICH"/>
    <s v="SP"/>
    <s v="RUA TREZE DE MAIO, 155, SALA 01 E 03"/>
    <s v="CENTRO"/>
    <s v="VALINHOS"/>
    <s v="13270-020"/>
    <d v="2022-03-28T00:00:00"/>
  </r>
  <r>
    <n v="6000043"/>
    <s v="LOJA ARTHUR ALVIM - SP"/>
    <s v="CRISTIANE DE LATORRE JODAS"/>
    <x v="7"/>
    <s v="CINARA REGINA KEMERICH"/>
    <s v="SP"/>
    <s v="RUA DOUTOR CAMPOS MOURA , 99 SALA 1"/>
    <s v="ARTHUR ALVIM "/>
    <s v="SAO PAULO"/>
    <s v="03568-010"/>
    <d v="2022-06-01T00:00:00"/>
  </r>
  <r>
    <n v="5504"/>
    <s v="LOJA ITAQUAQUECETUBA - SP"/>
    <s v="FABIANA DO NASCIMENTO VIEIRA PRIMO"/>
    <x v="7"/>
    <s v="CINARA REGINA KEMERICH"/>
    <s v="SP"/>
    <s v="RUA SEBASTIÃO FERREIRA DOS SANTOS Nº 102, SALA 04"/>
    <s v="CENTRO"/>
    <s v="ITAQUAQUECETUBA"/>
    <s v="08570-060"/>
    <m/>
  </r>
  <r>
    <n v="5501"/>
    <s v="LOJA ITAQUERA - SP"/>
    <s v="CARLA ALVES ALBUQUERQUE CARNEIRO"/>
    <x v="7"/>
    <s v="CINARA REGINA KEMERICH"/>
    <s v="SP"/>
    <s v="RUA GREGORIO RAMALHO, 71"/>
    <s v="ITAQUERA"/>
    <s v="SAO PAULO"/>
    <s v="08210-430"/>
    <m/>
  </r>
  <r>
    <n v="6000036"/>
    <s v="LOJA MATEUS - SP"/>
    <s v="KAMILA TAUBALD"/>
    <x v="7"/>
    <s v="CINARA REGINA KEMERICH"/>
    <s v="SP"/>
    <s v="AVENIDA MATEO BEI, 2541"/>
    <s v="SÃO MATEUS"/>
    <s v="SAO PAULO"/>
    <s v="03949-012"/>
    <d v="2022-04-04T00:00:00"/>
  </r>
  <r>
    <n v="6000040"/>
    <s v="LOJA SAO MIGUEL - SP"/>
    <s v="SIDNEY DOS SANTOS ROSA"/>
    <x v="7"/>
    <s v="CINARA REGINA KEMERICH"/>
    <s v="SP"/>
    <s v="AV. MARECHAL TITO, 1000"/>
    <s v="SAO MIGUEL PAULISTA"/>
    <s v="SAO PAULO"/>
    <s v="08010-090"/>
    <d v="2022-04-27T00:00:00"/>
  </r>
  <r>
    <n v="5506"/>
    <s v="LOJA SAO PAULO - PENHA - SP"/>
    <s v="NATALIA DE SOUZA"/>
    <x v="7"/>
    <s v="CINARA REGINA KEMERICH"/>
    <s v="SP"/>
    <s v="RUA: PADRE JOÃO,  257"/>
    <s v="PENHA"/>
    <s v="SAO PAULO"/>
    <s v="03637-000"/>
    <m/>
  </r>
  <r>
    <n v="600081"/>
    <s v="LOJA TATUAPE - SP"/>
    <s v="JULIA DE ALMEIDA SILVA"/>
    <x v="7"/>
    <s v="CINARA REGINA KEMERICH"/>
    <s v="SP"/>
    <s v="RUA TUIUTI, 2179"/>
    <s v="TATUAPE"/>
    <s v="SAO PAULO"/>
    <s v="03307-005"/>
    <d v="2022-04-04T00:00:00"/>
  </r>
  <r>
    <n v="31174"/>
    <s v="LOJA ALMIRANTE TAMANDARÉ - PR"/>
    <s v="ANA CAROLINA RIBEIRO"/>
    <x v="10"/>
    <s v="CINARA REGINA KEMERICH"/>
    <s v="PR"/>
    <s v="AV. EMÍLIO JOHSON, Nº 174"/>
    <s v="VILA SANTA TEREZINHA"/>
    <s v="ALMIRANTE TAMANDARE"/>
    <s v="83501-000"/>
    <m/>
  </r>
  <r>
    <n v="3802"/>
    <s v="LOJA CURITIBA - PR"/>
    <s v="IZABEL CRISTINA SILVEIRA"/>
    <x v="10"/>
    <s v="CINARA REGINA KEMERICH"/>
    <s v="PR"/>
    <s v="RUA ANDRE DE BARROS Nº 205"/>
    <s v="CENTRO"/>
    <s v="CURITIBA"/>
    <s v="80010-080"/>
    <m/>
  </r>
  <r>
    <n v="3801"/>
    <s v="LOJA FAZENDA RIO GRANDE - PR"/>
    <s v="PEDRO HENRIQUE BATISTA DA COSTA"/>
    <x v="10"/>
    <s v="CINARA REGINA KEMERICH"/>
    <s v="PR"/>
    <s v="RUA:CESAR CARELLI  Nº 151 SALA 1 "/>
    <s v="PIONEIROS"/>
    <s v="FAZENDA RIO GRANDE"/>
    <s v="83833-054"/>
    <m/>
  </r>
  <r>
    <n v="30110"/>
    <s v="LOJA PARANAGUA - PR"/>
    <s v="SUZIANNE FERNANDES DE MORAIS"/>
    <x v="10"/>
    <s v="CINARA REGINA KEMERICH"/>
    <s v="PR"/>
    <s v="TRAVESSA NOVE DE AGOSTO Nº 13"/>
    <s v="CENTRO HISTORICO"/>
    <s v="PARANAGUA"/>
    <s v="83203-006"/>
    <m/>
  </r>
  <r>
    <n v="31220"/>
    <s v="LOJA PONTA GROSSA - PR"/>
    <s v="CAMILA ANAIR MOREIRA"/>
    <x v="10"/>
    <s v="CINARA REGINA KEMERICH"/>
    <s v="PR"/>
    <s v="RUA SANTOS DUMONT Nº 882."/>
    <s v="CENTRO"/>
    <s v="PONTA GROSSA"/>
    <s v="84010-360"/>
    <m/>
  </r>
  <r>
    <n v="31175"/>
    <s v="LOJA SAO JOSÉ DOS PINHAIS"/>
    <s v="Sem supervisor"/>
    <x v="10"/>
    <s v="CINARA REGINA KEMERICH"/>
    <s v="PR"/>
    <s v="RUA DR. MARCELINO NOGUEIRA 190"/>
    <s v="CENTRO"/>
    <s v="SAO JOSE DOS PINHAIS"/>
    <s v="83005-370"/>
    <m/>
  </r>
  <r>
    <n v="6000038"/>
    <s v="LOJA ATIBAIA - SP"/>
    <s v="EVELYN SUZAN CONCEICAO SENA"/>
    <x v="6"/>
    <s v="CINARA REGINA KEMERICH"/>
    <s v="SP"/>
    <s v="RUA THOME FRANCO, 258"/>
    <s v="CENTRO"/>
    <s v="ATIBAIA"/>
    <s v="12940-680"/>
    <d v="2022-05-10T00:00:00"/>
  </r>
  <r>
    <n v="6000045"/>
    <s v="LOJA FRANCISCO MORATO - SP"/>
    <s v="PATRICIA GOMES JEREMIAS"/>
    <x v="6"/>
    <s v="CINARA REGINA KEMERICH"/>
    <s v="SP"/>
    <s v="RUA JOAO MENDES JUNIOR 63 SALA 05"/>
    <s v="CENTRO"/>
    <s v="SAO PAULO"/>
    <s v="07910-210"/>
    <d v="2022-08-16T00:00:00"/>
  </r>
  <r>
    <n v="600079"/>
    <s v="LOJA FRANCO DA ROCHA - SP"/>
    <s v="CARLOS ALBERTO PIRANI JUNIOR"/>
    <x v="6"/>
    <s v="CINARA REGINA KEMERICH"/>
    <s v="SP"/>
    <s v="RUA AZEVEDO SOARES, 184, SALA 4"/>
    <s v="CENTRO"/>
    <s v="FRANCO DA ROCHA"/>
    <s v="07851-010"/>
    <d v="2022-04-26T00:00:00"/>
  </r>
  <r>
    <n v="50734"/>
    <s v="LOJA GUARULHOS - SP"/>
    <s v="MIRIAM DE SALLES BARBIERI"/>
    <x v="7"/>
    <s v="CINARA REGINA KEMERICH"/>
    <s v="SP"/>
    <s v="RUA OSWALDO CRUZ, 36"/>
    <s v="CENTRO"/>
    <s v="GUARULHOS"/>
    <s v="07010-020"/>
    <m/>
  </r>
  <r>
    <n v="54512"/>
    <s v="LOJA JUNDIAI - SP"/>
    <s v="NICOLE CRISTINA MENDES"/>
    <x v="6"/>
    <s v="CINARA REGINA KEMERICH"/>
    <s v="SP"/>
    <s v="RUA VIGARIO JOAO JOSE RODRIGUES 969"/>
    <s v="CENTRO"/>
    <s v="JUNDIAI"/>
    <s v="13201-001"/>
    <d v="2021-04-05T00:00:00"/>
  </r>
  <r>
    <n v="50550"/>
    <s v="LOJA OSASCO - SP"/>
    <s v="ANDRESSA CRISTINA FERREIRA DA SILVA DE SOUZA"/>
    <x v="6"/>
    <s v="CINARA REGINA KEMERICH"/>
    <s v="SP"/>
    <s v="R  PRIMITIVA VIANCO , 657"/>
    <s v="CENTRO"/>
    <s v="OSASCO"/>
    <s v="06016-008"/>
    <m/>
  </r>
  <r>
    <n v="52012"/>
    <s v="LOJA SAO BENTO - SP"/>
    <s v="INDIAMARA CAMARGO DE PAULA"/>
    <x v="6"/>
    <s v="CINARA REGINA KEMERICH"/>
    <s v="SP"/>
    <s v="RUA SÃO BENTO 315, LJ 17"/>
    <s v="CENTRO"/>
    <s v="SAO PAULO"/>
    <s v="01010-000"/>
    <m/>
  </r>
  <r>
    <n v="6000033"/>
    <s v="LOJA SAO ROQUE - SP"/>
    <s v="CLEONICE VIANA DE JESUS"/>
    <x v="6"/>
    <s v="CINARA REGINA KEMERICH"/>
    <s v="SP"/>
    <s v="RUA PADRE MARÇAL, 55"/>
    <s v="CENTRO"/>
    <s v="SAO ROQUE"/>
    <s v="18130-100"/>
    <d v="2022-05-10T00:00:00"/>
  </r>
  <r>
    <n v="600055"/>
    <s v="LOJA TERMINAL PIMENTAS - SP"/>
    <s v="KAIQUE FERNANDO GRANUCCI"/>
    <x v="7"/>
    <s v="CINARA REGINA KEMERICH"/>
    <s v="SP"/>
    <s v="EST. PRESIDENTE JUSCELINO KUBITSCHEK DE OLIVEIRA"/>
    <s v="JARDIM ALBERTINA"/>
    <s v="GUARULHOS"/>
    <s v="07252-000"/>
    <d v="2022-01-18T00:00:00"/>
  </r>
  <r>
    <n v="1435"/>
    <s v="LOJA BUTIA - RS"/>
    <s v="PATRICIA IGNACIO ANTUNES"/>
    <x v="11"/>
    <s v="ADRIELE DA SILVA SOUZA"/>
    <s v="RS"/>
    <s v="AV. LEANDRO DE ALMEIDA, 622"/>
    <s v="CENTRO"/>
    <s v="BUTIA"/>
    <s v="96750-000"/>
    <m/>
  </r>
  <r>
    <n v="1434"/>
    <s v="LOJA CACHOEIRINHA - RS"/>
    <s v="PATRICIA SOARES DE OLIVEIRA "/>
    <x v="11"/>
    <s v="ADRIELE DA SILVA SOUZA"/>
    <s v="RS"/>
    <s v="R EURIPEDES AURELIO DA SILVA, 12 - LJ 04"/>
    <s v="CENTRO"/>
    <s v="CACHOEIRINHA"/>
    <s v="94920-250"/>
    <m/>
  </r>
  <r>
    <n v="19901"/>
    <s v="LOJA CHARQUEADAS - RS"/>
    <s v="FRANCINE ANSELMO RUDEK"/>
    <x v="11"/>
    <s v="ADRIELE DA SILVA SOUZA"/>
    <s v="RS"/>
    <s v="AV. DR JOSE ATHANÁSIO, 129 SALA A"/>
    <s v="CENTRO"/>
    <s v="CHARQUEADAS"/>
    <s v="96745-000"/>
    <m/>
  </r>
  <r>
    <n v="1432"/>
    <s v="LOJA GRAVATAI - RS"/>
    <s v="KAMILA TARIGA DE MATTOS"/>
    <x v="11"/>
    <s v="ADRIELE DA SILVA SOUZA"/>
    <s v="RS"/>
    <s v="RUA CORONEL FONSECA, 772"/>
    <s v="CENTRO"/>
    <s v="GRAVATAI"/>
    <s v="94010-190"/>
    <m/>
  </r>
  <r>
    <n v="1405"/>
    <s v="LOJA GUAIBA - RS"/>
    <s v="ALEXANDRE PRADO BARBOSA"/>
    <x v="3"/>
    <s v="ADRIELE DA SILVA SOUZA"/>
    <s v="RS"/>
    <s v="RUA CONEGO SCHERER, 556"/>
    <s v="CENTRO"/>
    <s v="GUAIBA"/>
    <s v="92704-560"/>
    <m/>
  </r>
  <r>
    <n v="1409"/>
    <s v="LOJA PORTO ALEGRE - AZENHA - RS"/>
    <s v="BRUNA PIRES AZEREDO"/>
    <x v="11"/>
    <s v="ADRIELE DA SILVA SOUZA"/>
    <s v="RS"/>
    <s v="AV. AZENHA, 581"/>
    <s v="AZENHA"/>
    <s v="PORTO ALEGRE"/>
    <s v="90160-001"/>
    <m/>
  </r>
  <r>
    <n v="1400"/>
    <s v="LOJA PORTO ALEGRE - BORGES - RS"/>
    <s v="CINTIA POSSAMAI DA SILVA"/>
    <x v="11"/>
    <s v="ADRIELE DA SILVA SOUZA"/>
    <s v="RS"/>
    <s v="AV. BORGES DE MEDEIROS, 410 "/>
    <s v="CENTRO"/>
    <s v="PORTO ALEGRE"/>
    <s v="90020-022"/>
    <m/>
  </r>
  <r>
    <n v="1401"/>
    <s v="LOJA PORTO ALEGRE - OSVALDO ARANHA I - RS"/>
    <s v="JESSICA FERREIRA ANTUNES"/>
    <x v="11"/>
    <s v="ADRIELE DA SILVA SOUZA"/>
    <s v="RS"/>
    <s v="AV OSVALDO ARANHA, 1394 "/>
    <s v="BOM FIM"/>
    <s v="PORTO ALEGRE"/>
    <s v="90035-191"/>
    <m/>
  </r>
  <r>
    <n v="10226"/>
    <s v="LOJA SALGADO FILHO - RS"/>
    <s v="FERNANDA RODRIGUES SOARES"/>
    <x v="11"/>
    <s v="ADRIELE DA SILVA SOUZA"/>
    <s v="RS"/>
    <s v="AV. SENADOR SALGADO FILHO 208"/>
    <s v="CENTRO"/>
    <s v="PORTO ALEGRE"/>
    <s v="90010-220"/>
    <m/>
  </r>
  <r>
    <n v="1444"/>
    <s v="LOJA SAO JERONIMO - RS"/>
    <s v="CAROLINE VENTURINI"/>
    <x v="11"/>
    <s v="ADRIELE DA SILVA SOUZA"/>
    <s v="RS"/>
    <s v="RUA OSVALDO ARANHA, 65"/>
    <s v="CENTRO"/>
    <s v="SAO JERONIMO"/>
    <s v="96700-000"/>
    <m/>
  </r>
  <r>
    <n v="1453"/>
    <s v="LOJA BENTO GONCALVES - RS"/>
    <s v="SARA LETICIA FREITAS RODRIGUES PIEDADE"/>
    <x v="4"/>
    <s v="ADRIELE DA SILVA SOUZA"/>
    <s v="RS"/>
    <s v="RUA GENERAL GOMES CARNEIRO, 83 - LOJA 5"/>
    <s v="CENTRO"/>
    <s v="BENTO GONCALVES"/>
    <s v="95700-172"/>
    <m/>
  </r>
  <r>
    <n v="1443"/>
    <s v="LOJA CAXIAS DO SUL - RS"/>
    <s v="BRUNA OLIVEIRA FERREIRA"/>
    <x v="4"/>
    <s v="ADRIELE DA SILVA SOUZA"/>
    <s v="RS"/>
    <s v="RUA BENTO GONÇALVES, 1967 LJ 5 EDIFÍCIO C. PRESIDE"/>
    <s v="CENTRO"/>
    <s v="CAXIAS DO SUL"/>
    <s v="95020-412"/>
    <m/>
  </r>
  <r>
    <n v="19701"/>
    <s v="LOJA LAJEADO - RS"/>
    <s v="PEDRO SEVERO DOS SANTOS"/>
    <x v="1"/>
    <s v="ADRIELE DA SILVA SOUZA"/>
    <s v="RS"/>
    <s v="RUA FRANCISCO OSCAR KARNAL - Nº 333 LOJA 103"/>
    <s v="CENTRO"/>
    <s v="LAJEADO"/>
    <s v="95900-180"/>
    <m/>
  </r>
  <r>
    <n v="1437"/>
    <s v="LOJA MONTENEGRO - RS"/>
    <s v="BETINA INES SCHAEFER"/>
    <x v="4"/>
    <s v="ADRIELE DA SILVA SOUZA"/>
    <s v="RS"/>
    <s v="AV.RAMIRO BARCELOS Nº 1545 - SL 104"/>
    <s v="CENTRO"/>
    <s v="MONTENEGRO"/>
    <s v="95780-000"/>
    <m/>
  </r>
  <r>
    <n v="1439"/>
    <s v="LOJA PORTAO - RS"/>
    <s v="PAULO RICARDO PINTO JUNIOR"/>
    <x v="4"/>
    <s v="ADRIELE DA SILVA SOUZA"/>
    <s v="RS"/>
    <s v="ROD RS 240 , 3526 - SL 05 (RODOCENTER) "/>
    <s v="CENTRO"/>
    <s v="PORTAO"/>
    <s v="93180-000"/>
    <m/>
  </r>
  <r>
    <n v="601055"/>
    <s v="LOJA PORTO ALEGRE - CRISTOVAO COLOMBO - RS"/>
    <s v="MAIHARA FONTOURA VIEIRA"/>
    <x v="11"/>
    <s v="ADRIELE DA SILVA SOUZA"/>
    <s v="RS"/>
    <s v="AV. CRISTÓVÃO COLOMBO, 1320"/>
    <s v="FLORESTA "/>
    <s v="PORTO ALEGRE"/>
    <s v="90560-002"/>
    <d v="2021-11-24T00:00:00"/>
  </r>
  <r>
    <n v="601050"/>
    <s v="LOJA PORTO ALEGRE ASSIS BRASIL III - RS"/>
    <s v="GRASIELA PEREIRA SANTIAGO DIAS"/>
    <x v="3"/>
    <s v="ADRIELE DA SILVA SOUZA"/>
    <s v="RS"/>
    <s v="AV.ASSIS BRASIL, 308"/>
    <s v="SÃO JOAO"/>
    <s v="PORTO ALEGRE"/>
    <s v="91010-000"/>
    <d v="2021-12-01T00:00:00"/>
  </r>
  <r>
    <n v="601057"/>
    <s v="LOJA PROTASIO ALVES - RS"/>
    <s v="EDUARDA VENTURA BOGADO"/>
    <x v="11"/>
    <s v="ADRIELE DA SILVA SOUZA"/>
    <s v="RS"/>
    <s v="AV. PROTASIO ALVES, 2492"/>
    <s v="PETROPOLIS"/>
    <s v="PORTO ALEGRE"/>
    <s v="90410-006"/>
    <d v="2022-02-25T00:00:00"/>
  </r>
  <r>
    <n v="19880"/>
    <s v="LOJA SANTA CRUZ DO SUL - RS"/>
    <s v="ARIADNE DE SENNA POLTOZI"/>
    <x v="1"/>
    <s v="ADRIELE DA SILVA SOUZA"/>
    <s v="RS"/>
    <s v="Rua Tenente Coronel Brito,719"/>
    <s v="CENTRO"/>
    <s v="SANTA CRUZ DO SUL"/>
    <s v="96810-114"/>
    <m/>
  </r>
  <r>
    <n v="19705"/>
    <s v="LOJA VENANCIO AIRES - RS"/>
    <s v="DANIELE CRISTINE ROSA"/>
    <x v="1"/>
    <s v="ADRIELE DA SILVA SOUZA"/>
    <s v="RS"/>
    <s v="RUA OSVALDO ARANHA, 1268"/>
    <s v="CENTRO"/>
    <s v="VENANCIO AIRES"/>
    <s v="95800-000"/>
    <m/>
  </r>
  <r>
    <n v="1414"/>
    <s v="LOJA VIAMAO - RS"/>
    <s v="VIVIAN AZAMBUJA CARNEIRO"/>
    <x v="11"/>
    <s v="ADRIELE DA SILVA SOUZA"/>
    <s v="RS"/>
    <s v="RUA: CORONEL MARCOS DE ANDRADE, 437"/>
    <s v="CENTRO"/>
    <s v="VIAMAO"/>
    <s v="94410-050"/>
    <m/>
  </r>
  <r>
    <n v="31373"/>
    <s v="LOJA CAMPO MOURÃO - PR"/>
    <s v="MARIA LUIZA NUNES TOLOMEOTTI"/>
    <x v="12"/>
    <s v="CINARA REGINA KEMERICH"/>
    <s v="PR"/>
    <s v="AV. IRMÃOS PEREIRA Nº 1631 SALA COMERCIAL"/>
    <s v="CENTRO"/>
    <s v="CAMPO MOURAO"/>
    <s v="87301-010"/>
    <d v="2021-03-22T00:00:00"/>
  </r>
  <r>
    <n v="31276"/>
    <s v="LOJA CASCAVEL - PR"/>
    <s v="LUIS ROGERIO DE OLIVEIRA"/>
    <x v="12"/>
    <s v="CINARA REGINA KEMERICH"/>
    <s v="PR"/>
    <s v="AVENIDA BRASIL 6282, SL 312"/>
    <s v="CENTRO"/>
    <s v="CASCAVEL"/>
    <s v="85812-002"/>
    <m/>
  </r>
  <r>
    <n v="31226"/>
    <s v="LOJA FOZ DO IGUAÇU - PR"/>
    <s v="PAULO ROBERTO FLORES DE SOUZA"/>
    <x v="12"/>
    <s v="CINARA REGINA KEMERICH"/>
    <s v="PR"/>
    <s v="RUA BARÃO DO RIO BRANCO, 648"/>
    <s v="CENTRO"/>
    <s v="FOZ DO IGUACU"/>
    <s v="85851-310"/>
    <m/>
  </r>
  <r>
    <n v="3817"/>
    <s v="LOJA LONDRINA - PR"/>
    <s v="PAMELA DA CONCEICAO DA SILVA"/>
    <x v="12"/>
    <s v="CINARA REGINA KEMERICH"/>
    <s v="PR"/>
    <s v="AV PARANÁ 117 A  "/>
    <s v="CENTRO "/>
    <s v="LONDRINA"/>
    <s v="86020-360"/>
    <m/>
  </r>
  <r>
    <n v="3800"/>
    <s v="LOJA MARINGA 1 - PR"/>
    <s v="GISLAINE ELIAS DOS SANTOS"/>
    <x v="12"/>
    <s v="CINARA REGINA KEMERICH"/>
    <s v="PR"/>
    <s v="RUA SANTOS DUMONT  Nº 2905  LOJA 1 "/>
    <s v="ZONA 1"/>
    <s v="MARINGA"/>
    <s v="87013-050"/>
    <m/>
  </r>
  <r>
    <n v="3827"/>
    <s v="LOJA MARINGA 2 - PR"/>
    <s v="EDEILSO COSTA MELO"/>
    <x v="12"/>
    <s v="CINARA REGINA KEMERICH"/>
    <s v="PR"/>
    <s v="AVENIDA TAMANDARÉ 655 LOJA 58"/>
    <s v="ZONA 1"/>
    <s v="MARINGA"/>
    <s v="87013-210"/>
    <m/>
  </r>
  <r>
    <n v="31353"/>
    <s v="LOJA TOLEDO - PR"/>
    <s v="Sem supervisor"/>
    <x v="12"/>
    <s v="CINARA REGINA KEMERICH"/>
    <s v="PR"/>
    <s v="sete de setembro  n 1218"/>
    <s v="CENTRO"/>
    <s v="TOLEDO"/>
    <s v="85900-220"/>
    <d v="2020-09-21T00:00:00"/>
  </r>
  <r>
    <n v="200020"/>
    <s v="LOJA UMUARAMA - PR"/>
    <s v="FRANCIELY VANESSA DE SOUZA GARCIA"/>
    <x v="12"/>
    <s v="CINARA REGINA KEMERICH"/>
    <s v="PR"/>
    <s v="AVENIDA BRASIL, 4140 SALA 4"/>
    <s v="ZONA I"/>
    <s v="UMUARAMA"/>
    <s v="87501-070"/>
    <d v="2021-11-23T00:00:00"/>
  </r>
  <r>
    <n v="1436"/>
    <s v="LOJA CAMAQUA - RS"/>
    <s v="ANDREY COSTA DA ROCHA"/>
    <x v="13"/>
    <s v="ADRIELE DA SILVA SOUZA"/>
    <s v="RS"/>
    <s v="AVENIDA OLAVO MORAES, 798 - LOJA A"/>
    <s v="CENTRO"/>
    <s v="CAMAQUA"/>
    <s v="96780-070"/>
    <m/>
  </r>
  <r>
    <n v="19707"/>
    <s v="LOJA CANGUÇU - RS"/>
    <s v="CLAUDIA BEATRIZ LACERDA SCHIAVON"/>
    <x v="13"/>
    <s v="ADRIELE DA SILVA SOUZA"/>
    <s v="RS"/>
    <s v="AV. 20 DE SETEMBRO 11C"/>
    <s v="CENTRO (TRIANGULO)"/>
    <s v="CANGUCU"/>
    <s v="96600-000"/>
    <m/>
  </r>
  <r>
    <n v="1478"/>
    <s v="LOJA PELOTAS - RS"/>
    <s v="NAYANE BORGES"/>
    <x v="13"/>
    <s v="ADRIELE DA SILVA SOUZA"/>
    <s v="RS"/>
    <s v="RUA SETE DE SETEMBRO, 240 "/>
    <s v="CENTRO"/>
    <s v="PELOTAS"/>
    <s v="96015-300"/>
    <m/>
  </r>
  <r>
    <n v="10200"/>
    <s v="LOJA RIO GRANDE - RS"/>
    <s v="Sem supervisor"/>
    <x v="13"/>
    <s v="ADRIELE DA SILVA SOUZA"/>
    <s v="RS"/>
    <s v="MARECHAL FLORIANO 290"/>
    <s v="CENTRO"/>
    <s v="RIO GRANDE"/>
    <s v="96200-380"/>
    <m/>
  </r>
  <r>
    <n v="1490"/>
    <s v="LOJA SAO LOURENÇO - RS"/>
    <s v="Sem supervisor"/>
    <x v="13"/>
    <s v="ADRIELE DA SILVA SOUZA"/>
    <s v="RS"/>
    <s v="Rua Pinheiro Machado nº 406"/>
    <s v="MEDIANEIRA"/>
    <s v="SAO LOURENCO DO SUL"/>
    <s v="96170-000"/>
    <m/>
  </r>
  <r>
    <n v="1422"/>
    <s v="LOJA TAPES - RS"/>
    <s v="FRANCIELI FORTE SUBTIL DA SILVA"/>
    <x v="13"/>
    <s v="ADRIELE DA SILVA SOUZA"/>
    <s v="RS"/>
    <s v="AV. ASSIS BRASIL, 371 LOJA 2"/>
    <s v="CENTRO"/>
    <s v="TAPES"/>
    <s v="96760-000"/>
    <m/>
  </r>
  <r>
    <n v="9366"/>
    <s v="LOJA CONJ CEARA - FORTALEZA - CE"/>
    <s v="PAULO LINDEMBERG GOMES DO AMARAL"/>
    <x v="14"/>
    <s v="CRISTIANE CARVALHO GEBELATTO"/>
    <s v="CE"/>
    <s v="AV. A, Nº 1115, LOJA A"/>
    <s v="CONJUNTO CEARÁ"/>
    <s v="FORTALEZA"/>
    <s v="60533-310"/>
    <d v="2021-01-18T00:00:00"/>
  </r>
  <r>
    <n v="90900"/>
    <s v="LOJA FORTALEZA - CE"/>
    <s v="IRANILDA ARAUJO DE FREITAS"/>
    <x v="14"/>
    <s v="CRISTIANE CARVALHO GEBELATTO"/>
    <s v="CE"/>
    <s v="RUA FLORIANO PEIXOTO,797"/>
    <s v="CENTRO"/>
    <s v="FORTALEZA"/>
    <s v="60025-130"/>
    <m/>
  </r>
  <r>
    <n v="9370"/>
    <s v="LOJA MESSEJANA - CE"/>
    <s v="RUTH EMANUELA ALVES JORGE"/>
    <x v="14"/>
    <s v="CRISTIANE CARVALHO GEBELATTO"/>
    <s v="CE"/>
    <s v="CEL FRANCISCO PEREIRA,400, LOJA G"/>
    <s v="MESSEJANA"/>
    <s v="FORTALEZA"/>
    <s v="60840-290"/>
    <d v="2021-03-15T00:00:00"/>
  </r>
  <r>
    <n v="9368"/>
    <s v="LOJA PARANGABA - CE"/>
    <s v="Sem supervisor"/>
    <x v="14"/>
    <s v="CRISTIANE CARVALHO GEBELATTO"/>
    <s v="CE"/>
    <s v="CAIO PRADO 61, LOJA 6"/>
    <s v="PARANGABA"/>
    <s v="FORTALEZA"/>
    <s v="60720-040"/>
    <d v="2021-02-03T00:00:00"/>
  </r>
  <r>
    <n v="7747"/>
    <s v="LOJA CABULA - SALVADOR"/>
    <s v="RODRIGO GONZAGA CONCEICAO"/>
    <x v="15"/>
    <s v="CRISTIANE CARVALHO GEBELATTO"/>
    <s v="BA"/>
    <s v="SÃO GONÇALO, Nº 17 - LOJA 1"/>
    <s v="CABULA"/>
    <s v="SALVADOR"/>
    <s v="41185-055"/>
    <m/>
  </r>
  <r>
    <n v="7800"/>
    <s v="LOJA CAJAZEIRAS -  BA"/>
    <s v="ROSECLEIDE ALVES BARBOSA"/>
    <x v="15"/>
    <s v="CRISTIANE CARVALHO GEBELATTO"/>
    <s v="BA"/>
    <s v="ESTRADA DO COQUEIRO GRANDE, 21A"/>
    <s v="FAZENDA GRANDE II"/>
    <s v="SALVADOR"/>
    <s v="41340-050"/>
    <m/>
  </r>
  <r>
    <n v="7748"/>
    <s v="LOJA ITAPUÃ - SALVADOR"/>
    <s v="LIDIANE RUTE VELOSO DOS SANTOS"/>
    <x v="15"/>
    <s v="CRISTIANE CARVALHO GEBELATTO"/>
    <s v="BA"/>
    <s v="FERNANDO TORRES, Nº 3 LOJA 3"/>
    <s v="ITAPUÃ"/>
    <s v="SALVADOR"/>
    <s v="41635-470"/>
    <m/>
  </r>
  <r>
    <n v="94438"/>
    <s v="LOJA LAURO DE FREITAS - BA"/>
    <s v="MAINARA ALVES DOS SANTOS"/>
    <x v="15"/>
    <s v="CRISTIANE CARVALHO GEBELATTO"/>
    <s v="AM"/>
    <s v="PRAÇA MARTINIANO MAIA 181 A"/>
    <s v="CENTRO"/>
    <s v="LAURO DE FREITAS"/>
    <m/>
    <m/>
  </r>
  <r>
    <n v="7900"/>
    <s v="LOJA SALVADOR - BA"/>
    <s v="JESSICA ANDRADE DOS SANTOS"/>
    <x v="15"/>
    <s v="CRISTIANE CARVALHO GEBELATTO"/>
    <s v="BA"/>
    <s v="RUA DA BÉLGICA, 148 LOJA C "/>
    <s v="COMERCIO"/>
    <s v="SALVADOR"/>
    <s v="40010-030"/>
    <m/>
  </r>
  <r>
    <n v="71002"/>
    <s v="LOJA SALVADOR - COMERCIO"/>
    <s v="JOSE WELLINGTON DE SOUSA COSTA"/>
    <x v="15"/>
    <s v="CRISTIANE CARVALHO GEBELATTO"/>
    <s v="BA"/>
    <s v="RUA DA BÉLGICA, 148 LOJA C "/>
    <s v="COMÉRCIO"/>
    <s v="SALVADOR"/>
    <s v="40010-030"/>
    <m/>
  </r>
  <r>
    <n v="7815"/>
    <s v="LOJA SAO MARCOS - BA"/>
    <s v="ADRIANE SANTOS RIBEIRO"/>
    <x v="15"/>
    <s v="CRISTIANE CARVALHO GEBELATTO"/>
    <s v="BA"/>
    <s v="RUA SÃO MARCOS, 56"/>
    <s v="SÃO MARCOS"/>
    <s v="SALVADOR"/>
    <s v="41253-190"/>
    <m/>
  </r>
  <r>
    <n v="93826"/>
    <s v="LOJA ARACAJU - SE"/>
    <s v="VALQUIRIA SANTOS DA CRUZ"/>
    <x v="15"/>
    <s v="CRISTIANE CARVALHO GEBELATTO"/>
    <s v="SE"/>
    <s v="RUA SÃO CRISTÓVÃO, 402"/>
    <s v="CENTRO"/>
    <s v="ARACAJU "/>
    <s v="49010-380"/>
    <d v="2022-11-18T00:00:00"/>
  </r>
  <r>
    <n v="23001"/>
    <s v="LOJA MACEIO - AL"/>
    <s v="THAISA MARY COSTA DE OLIVEIRA"/>
    <x v="15"/>
    <s v="CRISTIANE CARVALHO GEBELATTO"/>
    <s v="AL"/>
    <s v="RUA BARÃO DE PENEDO , Nº 197"/>
    <s v="CENTRO"/>
    <s v="MACEIO"/>
    <s v="57020-340"/>
    <m/>
  </r>
  <r>
    <n v="81006"/>
    <s v="LOJA AFOGADOS - RECIFE"/>
    <s v="MARILIA TERCIA DA SILVA BRITO"/>
    <x v="16"/>
    <s v="CRISTIANE CARVALHO GEBELATTO"/>
    <s v="PE"/>
    <s v="DA PAZ, Nº 194"/>
    <s v="AFOGADOS"/>
    <s v="RECIFE"/>
    <s v="50770-000"/>
    <d v="2021-03-30T00:00:00"/>
  </r>
  <r>
    <n v="18936"/>
    <s v="LOJA BAYEUX - PB"/>
    <s v="HERCULANO ALVES DOS SANTOS"/>
    <x v="16"/>
    <s v="CRISTIANE CARVALHO GEBELATTO"/>
    <s v="PB"/>
    <s v="AVENIDA LIBERDADE 3379"/>
    <s v="CENTRO"/>
    <s v="BAYEUX"/>
    <s v="58110-160"/>
    <d v="2021-06-14T00:00:00"/>
  </r>
  <r>
    <n v="18105"/>
    <s v="LOJA CAMPINA GRANDE - PB"/>
    <s v="DANIELA MEDEIROS MONTEIRO DE OLIVEIRA"/>
    <x v="16"/>
    <s v="CRISTIANE CARVALHO GEBELATTO"/>
    <s v="PB"/>
    <s v="RUA EPITACIO PESSOA 166"/>
    <s v="CENTRO"/>
    <s v="CAMPINA GRANDE"/>
    <s v="58400-025"/>
    <m/>
  </r>
  <r>
    <n v="80969"/>
    <s v="LOJA CARUARU - PE"/>
    <s v="DANILMA MATIAS DA SILVA"/>
    <x v="16"/>
    <s v="CRISTIANE CARVALHO GEBELATTO"/>
    <s v="PE"/>
    <s v="RUA CORONEL LIMEIRA, Nº 049-C"/>
    <s v="NOSSA SENHORA DAS DORES"/>
    <s v="CARUARU"/>
    <s v="55002-350"/>
    <m/>
  </r>
  <r>
    <n v="81075"/>
    <s v="LOJA CRUZ DAS ARMAS - PB"/>
    <s v="DAYANNE COSTA CHAVES"/>
    <x v="16"/>
    <s v="CRISTIANE CARVALHO GEBELATTO"/>
    <s v="PB"/>
    <s v="AV. CRUZ DAS ARMAS, 771, SALA B"/>
    <s v="CRUZ DAS ARMAS"/>
    <s v="JOAO PESSOA"/>
    <s v="58085-000"/>
    <d v="2022-05-23T00:00:00"/>
  </r>
  <r>
    <n v="18900"/>
    <s v="LOJA JOAO PESSOA - PB"/>
    <s v="RUANA VIRGINIA DA SILVA SANTOS"/>
    <x v="16"/>
    <s v="CRISTIANE CARVALHO GEBELATTO"/>
    <s v="PB"/>
    <s v="RUA TREZE DE MAIO, 391"/>
    <s v="CENTRO"/>
    <s v="JOAO PESSOA"/>
    <s v="58013-070"/>
    <m/>
  </r>
  <r>
    <n v="18937"/>
    <s v="LOJA MANGABEIRA - PB"/>
    <s v="VANDERLANDIA FERREIRA ALVES VENANCIO"/>
    <x v="16"/>
    <s v="CRISTIANE CARVALHO GEBELATTO"/>
    <s v="PB"/>
    <s v="RUA JOSEFA TAVEIRA 1547"/>
    <s v="MAGABEIRA"/>
    <s v="JOAO PESSOA"/>
    <s v="58055-000"/>
    <d v="2021-08-11T00:00:00"/>
  </r>
  <r>
    <n v="14900"/>
    <s v="LOJA NATAL - RN"/>
    <s v="THAISE SILVEIRA DOS SANTOS APOLINARIO"/>
    <x v="16"/>
    <s v="CRISTIANE CARVALHO GEBELATTO"/>
    <s v="RN"/>
    <s v="AVENIDA DEODORO DA FONSECA 626"/>
    <s v="CENTRO"/>
    <s v="NATAL"/>
    <s v="59025-145"/>
    <m/>
  </r>
  <r>
    <n v="14932"/>
    <s v="LOJA NATAL - CIDADE ALTA - RN"/>
    <s v="WHANDERSON MATHEUS ARAUJO DA COSTA"/>
    <x v="16"/>
    <s v="CRISTIANE CARVALHO GEBELATTO"/>
    <s v="RN"/>
    <s v="RUA JOÃO PESSOA, Nº 219"/>
    <s v="CIDADE ALTA"/>
    <s v="NATAL"/>
    <s v="59025-500"/>
    <m/>
  </r>
  <r>
    <n v="8399"/>
    <s v="LOJA RECIFE - PE"/>
    <s v="MARCELA FERREIRA DOS PASSOS"/>
    <x v="16"/>
    <s v="CRISTIANE CARVALHO GEBELATTO"/>
    <s v="PE"/>
    <s v="RUA DUQUE DE CAXIAS 201"/>
    <s v="SANTO ANTONIO"/>
    <s v="RECIFE"/>
    <s v="50010-290"/>
    <m/>
  </r>
  <r>
    <n v="1498"/>
    <s v="CALL CENTER - DEBITO DIGITAL 1498"/>
    <s v="WILLIAM BONIATTI MENEGAT"/>
    <x v="17"/>
    <s v="FERNANDA APARECIDA TOMAZINI"/>
    <s v="RS"/>
    <s v="VIGARIO JOSE INACIO 258/260"/>
    <s v="CENTRO"/>
    <s v="PORTO ALEGRE"/>
    <s v="90020-100"/>
    <m/>
  </r>
  <r>
    <n v="1493"/>
    <s v="CALL CENTER - FGTS 1493"/>
    <s v="FLAVIA GRAZIELA MENDES BORGES"/>
    <x v="17"/>
    <s v="FERNANDA APARECIDA TOMAZINI"/>
    <s v="RS"/>
    <s v="AV. BORGES DE MEDEIROS 410/8 ANDAR"/>
    <s v="CENTRO"/>
    <s v="PORTO ALEGRE"/>
    <s v="90020-022"/>
    <m/>
  </r>
  <r>
    <n v="1491"/>
    <s v="CALL CENTER PRODUTOS E SERVIÇOS II 1491"/>
    <s v="TERESINHA DE JESUS FREITAS SOARES"/>
    <x v="17"/>
    <s v="FERNANDA APARECIDA TOMAZINI"/>
    <s v="RS"/>
    <s v="AVENIDA SENADOR SALGADO FILHO 230"/>
    <s v="CENTRO "/>
    <s v="PORTO ALEGRE"/>
    <s v="90010-220"/>
    <m/>
  </r>
  <r>
    <n v="1492"/>
    <s v="CALL CENTER PRODUTOS E SERVIÇOS III 1492"/>
    <s v="TASSIANA GARCIA MOURA"/>
    <x v="17"/>
    <s v="FERNANDA APARECIDA TOMAZINI"/>
    <s v="RS"/>
    <s v="VIGARIO JOSE INACIO 258/260"/>
    <s v="CENTRO"/>
    <s v="PORTO ALEGRE"/>
    <s v="90020-100"/>
    <m/>
  </r>
  <r>
    <n v="149400"/>
    <s v="CALL CENTER PRODUTOS E SERVIÇOS IV 149400"/>
    <s v="VANESSA DOS SANTOS PINTO"/>
    <x v="17"/>
    <s v="FERNANDA APARECIDA TOMAZINI"/>
    <s v="RS"/>
    <s v="VIGARIO JOSE INACIO 258/260"/>
    <s v="CENTRO "/>
    <s v="PORTO ALEGRE"/>
    <s v="90020-100"/>
    <m/>
  </r>
  <r>
    <n v="149800"/>
    <s v="CALL CENTER PRODUTOS E SERVIÇOS IX 149800"/>
    <s v="RAPHAEL CASCAES MARTHA"/>
    <x v="17"/>
    <s v="FERNANDA APARECIDA TOMAZINI"/>
    <s v="RS"/>
    <s v="AV. BORGES DE MEDEIROS, 410,"/>
    <s v="CENTRO"/>
    <s v="PORTO ALEGRE"/>
    <s v="90020-022"/>
    <m/>
  </r>
  <r>
    <n v="149500"/>
    <s v="CALL CENTER PRODUTOS E SERVIÇOS V 149500"/>
    <s v="Sem supervisor"/>
    <x v="17"/>
    <s v="FERNANDA APARECIDA TOMAZINI"/>
    <s v="RS"/>
    <s v="RUA VIGARIO JOSE INACIO, 258 / 260"/>
    <s v="CENTRO"/>
    <s v="PORTO ALEGRE"/>
    <m/>
    <m/>
  </r>
  <r>
    <n v="149700"/>
    <s v="CALL CENTER PRODUTOS E SERVIÇOS VI 149700"/>
    <s v="Sem supervisor"/>
    <x v="17"/>
    <s v="FERNANDA APARECIDA TOMAZINI"/>
    <s v="RS"/>
    <s v="AV. BORGES DE MEDEIROS, 410, 12º ANDAR"/>
    <s v="CENTRO"/>
    <s v="PORTO ALEGRE"/>
    <s v="90020-022"/>
    <m/>
  </r>
  <r>
    <n v="1495"/>
    <s v="CALL CENTER PRODUTOS E SERVIÇOS VII 1495"/>
    <s v="Sem supervisor"/>
    <x v="17"/>
    <s v="FERNANDA APARECIDA TOMAZINI"/>
    <s v="RS"/>
    <s v="RUA BORGES DE MEDEIROS 410"/>
    <s v="CENTRO"/>
    <s v="PORTO ALEGRE"/>
    <s v="90020-023"/>
    <m/>
  </r>
  <r>
    <n v="149600"/>
    <s v="CALL CENTER PRODUTOS E SERVIÇOS VIII 149600"/>
    <s v="Sem supervisor"/>
    <x v="17"/>
    <s v="FERNANDA APARECIDA TOMAZINI"/>
    <s v="RS"/>
    <s v="AV. BORGES DE MEDEIROS, 410, 12º ANDAR"/>
    <s v="CENTRO"/>
    <s v="PORTO ALEGRE"/>
    <s v="90020-022"/>
    <m/>
  </r>
  <r>
    <n v="1499"/>
    <s v="CALL CENTER SIAPE - RS 1499"/>
    <s v="ALISSON MONEGO PEREIRA"/>
    <x v="17"/>
    <s v="FERNANDA APARECIDA TOMAZINI"/>
    <s v="RS"/>
    <s v="AV. BORGES DE MEDEIROS 410/8 ANDAR"/>
    <s v="CENTRO"/>
    <s v="PORTO ALEGRE"/>
    <s v="90020-022"/>
    <m/>
  </r>
  <r>
    <n v="15002"/>
    <s v="LOJA GOIANIA - GO"/>
    <s v="ADRIELE FERNANDA VIEIRA DA SILVA"/>
    <x v="18"/>
    <s v="MAYARA NOVAIS LOPES"/>
    <s v="GO"/>
    <s v="RUA 02, 230 LJ 2 - EDIF CARLOS CHAGAS LOJA 2"/>
    <s v="SETOR CENTRAL"/>
    <s v="GOIANIA"/>
    <s v="74013-020"/>
    <m/>
  </r>
  <r>
    <n v="17207"/>
    <s v="LOJA SETOR CAMPINAS - GO "/>
    <s v="GEOVANNA ALVES DE PAULA VAZ"/>
    <x v="18"/>
    <s v="MAYARA NOVAIS LOPES"/>
    <s v="GO"/>
    <s v="AV. 24 DE OUTUBRO, N.779 QD.43 LT.04 SL.01"/>
    <s v="SETOR CAMPINAS "/>
    <s v="GOIANIA"/>
    <s v="74505-011"/>
    <m/>
  </r>
  <r>
    <n v="15361"/>
    <s v="LOJA SETOR GARAVELO - GO"/>
    <s v="POLIANA MORAIS SILVA"/>
    <x v="18"/>
    <s v="MAYARA NOVAIS LOPES"/>
    <s v="GO"/>
    <s v="AVENIDA DA IGUALDADE QD 095, LT 03"/>
    <s v="SETOR GARAVELO"/>
    <s v="APARECIDA DE GOIANIA"/>
    <s v="74930-530"/>
    <m/>
  </r>
  <r>
    <n v="13976"/>
    <s v="LOJA ANJO DA GUARDA - MA"/>
    <s v="MEYRILANE SOUSA BARROS"/>
    <x v="19"/>
    <s v="MAYARA NOVAIS LOPES"/>
    <s v="MA"/>
    <s v="AVENIDA MOÇAMBIQUE, 05"/>
    <s v="ANJO DA GUARDA"/>
    <s v="SÃO LUIS"/>
    <m/>
    <m/>
  </r>
  <r>
    <n v="12257"/>
    <s v="LOJA JOAO PAULO - MA"/>
    <s v="LAYANE JAYRA DA SILVA CARVALHO"/>
    <x v="19"/>
    <s v="MAYARA NOVAIS LOPES"/>
    <s v="MA"/>
    <s v="AV. JOAO PESSOA 182"/>
    <s v="JOAO PAULO"/>
    <s v="SAO LUIS"/>
    <s v="64040-000"/>
    <d v="2021-10-18T00:00:00"/>
  </r>
  <r>
    <n v="31381"/>
    <s v="LOJA PAÇO DO LUMIAR - MA"/>
    <s v="BIANCA NIUANE DIAS MESQUITA"/>
    <x v="19"/>
    <s v="MAYARA NOVAIS LOPES"/>
    <s v="MA"/>
    <s v="RODOVIA MA-201 (ESTRADA DE RIBAMAR) KM 7, Nº 7114"/>
    <s v="BAIRRO TIJUPÁ QUEIMADO"/>
    <s v="PAÇO DO LUMIAR"/>
    <n v="0"/>
    <d v="2021-04-12T00:00:00"/>
  </r>
  <r>
    <n v="31388"/>
    <s v="LOJA SAO JOSE DE RIBAMAR - MA"/>
    <s v="STEPHANIE FURTADO DE CARVALHO"/>
    <x v="19"/>
    <s v="MAYARA NOVAIS LOPES"/>
    <s v="MA"/>
    <s v="AV. GONÇALVES DIAS 711, SALA 02"/>
    <s v="CENTRO"/>
    <s v="SAO JOSE DE RIBAMAR"/>
    <s v="65110-000"/>
    <d v="2021-05-03T00:00:00"/>
  </r>
  <r>
    <n v="13900"/>
    <s v="LOJA SAO LUIS - MA"/>
    <s v="DARILENE SILVA BARROSO"/>
    <x v="19"/>
    <s v="MAYARA NOVAIS LOPES"/>
    <s v="MA"/>
    <s v="RUA DO SOL , 585"/>
    <s v="CENTRO"/>
    <s v="SAO LUIS"/>
    <s v="65020-590"/>
    <m/>
  </r>
  <r>
    <n v="20085"/>
    <s v="LOJA TERESINA II - PI"/>
    <s v="MARCIELE DA SILVA VIEIRA"/>
    <x v="19"/>
    <s v="MAYARA NOVAIS LOPES"/>
    <s v="PI"/>
    <s v="BARROSO, Nº 151"/>
    <s v="CENTRO"/>
    <s v="TERESINA"/>
    <s v="64000-130"/>
    <d v="2020-11-26T00:00:00"/>
  </r>
  <r>
    <n v="31382"/>
    <s v="LOJA TIRIRICAL - MA"/>
    <s v="NAYRA BASTOS DA SILVA"/>
    <x v="19"/>
    <s v="MAYARA NOVAIS LOPES"/>
    <s v="MA"/>
    <s v="AV. GUARAJARAS, Nº 30, Shopping Marajo LJ 07"/>
    <s v="TIRIRICAL"/>
    <s v="SAO LUIS"/>
    <s v="65055-285"/>
    <d v="2021-04-05T00:00:00"/>
  </r>
  <r>
    <n v="12200"/>
    <s v="LOJA CAMPO GRANDE - MS"/>
    <s v="SUELEN TAVARES DE ARAUJO"/>
    <x v="18"/>
    <s v="MAYARA NOVAIS LOPES"/>
    <s v="MS"/>
    <s v="RUA TREZE DE MAIO, 2892"/>
    <s v="CENTRO"/>
    <s v="CAMPO GRANDE"/>
    <s v="79002-356"/>
    <m/>
  </r>
  <r>
    <n v="19201"/>
    <s v="LOJA CUIABA - MT"/>
    <s v="STELLA CORDEIRO ALVES"/>
    <x v="18"/>
    <s v="MAYARA NOVAIS LOPES"/>
    <s v="MT"/>
    <s v="RUA BARÃO DE MELGAÇO 3525, SL 3"/>
    <s v="CENTRO-NORTE "/>
    <s v="CUIABA"/>
    <s v="78005-300"/>
    <m/>
  </r>
  <r>
    <n v="24009"/>
    <s v="LOJA PALMAS - TO"/>
    <s v="MARCELO HENRIQUE SILVA LOPES"/>
    <x v="18"/>
    <s v="MAYARA NOVAIS LOPES"/>
    <s v="TO"/>
    <s v="QUADRA 104 SUL, RUA SE 01, N° 5, SALA 1,"/>
    <s v="PLANO DIRETOR SUL "/>
    <s v="PALMAS"/>
    <s v="77020-014"/>
    <m/>
  </r>
  <r>
    <n v="40325"/>
    <s v="LOJA  JUIZ DE FORA - MG"/>
    <s v="BIANCA GOMES MARCIANO SILVA"/>
    <x v="20"/>
    <s v="MAYARA NOVAIS LOPES"/>
    <s v="MG"/>
    <s v="RUA BARÃO DE SÃO JOÃO NEPOMUCENO, 66"/>
    <s v="CENTRO"/>
    <s v="JUIZ DE FORA"/>
    <s v="36014-008"/>
    <d v="2022-01-17T00:00:00"/>
  </r>
  <r>
    <n v="4900"/>
    <s v="LOJA BELO HORIZONTE - MG"/>
    <s v="KELLY TATIANY DE MELO"/>
    <x v="20"/>
    <s v="MAYARA NOVAIS LOPES"/>
    <s v="MG"/>
    <s v="AV. AFONSO PENA 925 "/>
    <s v="CENTRO "/>
    <s v="BELO HORIZONTE"/>
    <s v="30130-002"/>
    <m/>
  </r>
  <r>
    <n v="400013"/>
    <s v="LOJA CATAGUASES - MG"/>
    <s v="CARLOS VINICIUS TEIXEIRA DE SOUZA"/>
    <x v="20"/>
    <s v="MAYARA NOVAIS LOPES"/>
    <s v="MG"/>
    <s v="RUA NOGUEIRA NEVES 22"/>
    <s v="CENTRO"/>
    <s v="CATAGUASES"/>
    <s v="36770-070"/>
    <d v="2022-02-01T00:00:00"/>
  </r>
  <r>
    <n v="40324"/>
    <s v="LOJA CONSELHEIRO LAFAIETE-MG"/>
    <s v="VALDA CONCEICAO DE OLIVEIRA"/>
    <x v="20"/>
    <s v="MAYARA NOVAIS LOPES"/>
    <s v="MG"/>
    <s v="RUA AFONSO PENA, 86 "/>
    <s v="CONSELHEIRO LAFAIETE"/>
    <s v="BELO HORIZONTE"/>
    <s v="36400-062"/>
    <d v="2022-01-17T00:00:00"/>
  </r>
  <r>
    <n v="45034"/>
    <s v="LOJA CONTAGEM - MG"/>
    <s v="CARLOS VINICIUS TEIXEIRA FRANCA"/>
    <x v="20"/>
    <s v="MAYARA NOVAIS LOPES"/>
    <s v="MG"/>
    <s v="AV. LONDRES, 47 LOJA 1"/>
    <s v="ELDORADO"/>
    <s v="CONTAGEM"/>
    <s v="32340-570"/>
    <m/>
  </r>
  <r>
    <n v="400012"/>
    <s v="LOJA MURIAE - MG"/>
    <s v="SABRINA DA SILVA SOUZA"/>
    <x v="20"/>
    <s v="MAYARA NOVAIS LOPES"/>
    <s v="MG"/>
    <s v="RUA PASCOAL BERNARDINO, 231, LOJA C "/>
    <s v="CENTRO"/>
    <s v="MURIAE"/>
    <s v="36880-049"/>
    <d v="2022-03-14T00:00:00"/>
  </r>
  <r>
    <n v="45018"/>
    <s v="LOJA SANTA LUZIA - MG"/>
    <s v="JUCILEA LIDIA JANUÁRIO"/>
    <x v="20"/>
    <s v="MAYARA NOVAIS LOPES"/>
    <s v="MG"/>
    <s v="AV. BRASILIA,  Nº 1838 LOJA 5"/>
    <s v="SÃO BENEDITO"/>
    <s v="SANTA LUZIA"/>
    <s v="33105-516"/>
    <m/>
  </r>
  <r>
    <n v="400010"/>
    <s v="LOJA SANTOS DUMONT - MG"/>
    <s v="JESSICA FERREIRA FIGUEIREDO"/>
    <x v="20"/>
    <s v="MAYARA NOVAIS LOPES"/>
    <s v="MG"/>
    <s v="PRAÇA CESARIO ALVIM, 17"/>
    <s v="CENTRO"/>
    <s v="SANTOS DUMONT"/>
    <s v="36240-000"/>
    <d v="2022-01-17T00:00:00"/>
  </r>
  <r>
    <n v="92760"/>
    <s v="LOJA UBA - MG"/>
    <s v="LUCIANA VIEIRA PERON RODRIGUES"/>
    <x v="20"/>
    <s v="MAYARA NOVAIS LOPES"/>
    <s v="MG"/>
    <s v="RUA CRISTIANO ROÇAS, 204 , LOJA 01"/>
    <s v="CENTRO"/>
    <s v="UBA"/>
    <s v="36500-000"/>
    <d v="2022-01-17T00:00:00"/>
  </r>
  <r>
    <n v="400011"/>
    <s v="LOJA VIÇOSA - MG"/>
    <s v="JEAN CARLOS PEREIRA ASSIS"/>
    <x v="20"/>
    <s v="MAYARA NOVAIS LOPES"/>
    <s v="MG"/>
    <s v="RUA DOUTOR MILTON BANDEIRA, 111, LOJA 06"/>
    <s v="CENTRO"/>
    <s v="VICOSA"/>
    <s v="36570-172"/>
    <d v="2022-02-28T00:00:00"/>
  </r>
  <r>
    <n v="96330"/>
    <s v="LOJA MANAUS - ALVORADA - AM"/>
    <s v=""/>
    <x v="21"/>
    <s v="MAYARA NOVAIS LOPES"/>
    <s v="AM"/>
    <s v="AV. DESEMBARGADOR JOÃO MACHADO. Nº 340, LOJA B"/>
    <s v="ALVORADA"/>
    <s v="MANAUS"/>
    <m/>
    <m/>
  </r>
  <r>
    <n v="96329"/>
    <s v="LOJA MANAUS - CHAPADA - AM"/>
    <s v=""/>
    <x v="21"/>
    <s v="MAYARA NOVAIS LOPES"/>
    <s v="AM"/>
    <s v="AV. DJALMA BATISTA, Nº 327"/>
    <s v="CHAPADA"/>
    <s v="MANAUS"/>
    <m/>
    <m/>
  </r>
  <r>
    <n v="96331"/>
    <s v="LOJA MANAUS - CIDADE NOVA - AM"/>
    <s v=""/>
    <x v="21"/>
    <s v="MAYARA NOVAIS LOPES"/>
    <s v="AM"/>
    <s v="RUA PROFESSOR FELIX VALOIS 63"/>
    <s v="CIDADE NOVA"/>
    <s v="MANAUS"/>
    <m/>
    <m/>
  </r>
  <r>
    <n v="96714"/>
    <s v="LOJA MANAUS - COMPENSA - AM"/>
    <s v=""/>
    <x v="21"/>
    <s v="MAYARA NOVAIS LOPES"/>
    <s v="AM"/>
    <s v="AV. BRASIL 45, LOJA D"/>
    <s v="COMPENSA"/>
    <s v="MANAUS"/>
    <m/>
    <m/>
  </r>
  <r>
    <n v="96328"/>
    <s v="LOJA MANAUS - EDUCANDOS - AM"/>
    <s v=""/>
    <x v="21"/>
    <s v="MAYARA NOVAIS LOPES"/>
    <s v="AM"/>
    <s v="RUA LEOPOLDO PERES, 673"/>
    <s v="EDUCANDOS"/>
    <s v="MANAUS"/>
    <m/>
    <m/>
  </r>
  <r>
    <n v="96713"/>
    <s v="LOJA MANAUS - SAO JOSE OPERARIO - AM "/>
    <s v=""/>
    <x v="21"/>
    <s v="MAYARA NOVAIS LOPES"/>
    <s v="AM"/>
    <s v="AV. AUTAZ MIRIM, 5679"/>
    <s v="SÃO JOSÉ"/>
    <s v="MANAUS"/>
    <m/>
    <m/>
  </r>
  <r>
    <n v="180007"/>
    <s v="LOJA ANANINDEUA - PA"/>
    <s v="ANTONIO STELYO DE ARAUJO BARBOSA"/>
    <x v="22"/>
    <s v="MAYARA NOVAIS LOPES"/>
    <s v="PA"/>
    <s v="CONJUNTO CIDADE NOVA VII WE-64, 712, A"/>
    <s v="COQUEIRO"/>
    <s v="ANANINDEUA"/>
    <s v="67140-652"/>
    <d v="2022-04-27T00:00:00"/>
  </r>
  <r>
    <n v="17500"/>
    <s v="LOJA BELEM - PA"/>
    <s v="SUELLEM DOS SANTOS SANTANA LIMA"/>
    <x v="22"/>
    <s v="MAYARA NOVAIS LOPES"/>
    <s v="PA"/>
    <s v="AV. PRESIDENTE VARGAS, 351, LOJA 345"/>
    <s v="BAIRRO CAMPINAS"/>
    <s v="BELEM"/>
    <s v="66010-095"/>
    <m/>
  </r>
  <r>
    <n v="600098"/>
    <s v="LOJA BRAGANÇA - PA"/>
    <s v="JAILTON ALVES DA SILVA"/>
    <x v="22"/>
    <s v="MAYARA NOVAIS LOPES"/>
    <s v="PA"/>
    <s v="TRAVESSA VIGÁRIO MOTA Nº 10"/>
    <s v="CENTRO"/>
    <s v="BRAGANÇA "/>
    <s v="68600-000"/>
    <d v="2023-04-24T00:00:00"/>
  </r>
  <r>
    <n v="17514"/>
    <s v="LOJA ICOARACI - PA"/>
    <s v="ELIZANGELA SORAIA DOS SANTOS SILVA"/>
    <x v="22"/>
    <s v="MAYARA NOVAIS LOPES"/>
    <s v="PA"/>
    <s v="AV. DR. LOPO DE CASTRO, 293 A"/>
    <s v="ICOARACI"/>
    <s v="BELEM"/>
    <s v="66810-000"/>
    <d v="2021-05-03T00:00:00"/>
  </r>
  <r>
    <n v="22001"/>
    <s v="LOJA MACAPA - AP"/>
    <s v="ELISANDREA CARVALHO VIDAL"/>
    <x v="22"/>
    <s v="MAYARA NOVAIS LOPES"/>
    <s v="AP"/>
    <s v="AV. CORIOLANO JUCA, 157 A"/>
    <s v="CENTRAL"/>
    <s v="MACAPA"/>
    <s v="68900-101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">
  <r>
    <n v="20990"/>
    <s v="LOJA ARARANGUA -  SC"/>
    <s v="JESSICA DIAS ZUCHINALI SANTANA"/>
    <x v="0"/>
    <s v="ADRIELE DA SILVA SOUZA"/>
    <s v="SC"/>
    <s v="RUA DR.VIRGULINO DE QUEIROZ, 215 SALA 2"/>
    <s v="CENTRO"/>
    <s v="ARARANGUA"/>
    <s v="88900-009"/>
    <m/>
    <n v="0"/>
    <n v="4"/>
  </r>
  <r>
    <n v="2222"/>
    <s v="LOJA BALNEARIO CAMBORIU - SC"/>
    <s v="ARISON SAM DE OLIVEIRA NEVES"/>
    <x v="0"/>
    <s v="ADRIELE DA SILVA SOUZA"/>
    <s v="SC"/>
    <s v="RUA 900,  13"/>
    <s v="CENTRO"/>
    <s v="BALNEARIO CAMBORIU"/>
    <s v="88300-604"/>
    <m/>
    <n v="0"/>
    <n v="3"/>
  </r>
  <r>
    <n v="2913"/>
    <s v="LOJA CHAPECO - SC"/>
    <s v="BRUNA KETLYN HELLGREN DE MOURA"/>
    <x v="0"/>
    <s v="ADRIELE DA SILVA SOUZA"/>
    <s v="SC"/>
    <s v="AVENIDA FERNANDO MACHADO, 380 D, SALA 01, EDIFÍCIO"/>
    <s v="CENTRO"/>
    <s v="CHAPECO"/>
    <s v="89802-110"/>
    <d v="2020-09-14T00:00:00"/>
    <d v="2020-09-14T00:00:00"/>
    <n v="5"/>
  </r>
  <r>
    <n v="20987"/>
    <s v="LOJA CRICIUMA - SC"/>
    <s v="JULIANA MARCELLO"/>
    <x v="0"/>
    <s v="ADRIELE DA SILVA SOUZA"/>
    <s v="SC"/>
    <s v="SAO JOSE 135/07, B"/>
    <s v="CENTRO"/>
    <s v="CRICIUMA"/>
    <s v="88801-520"/>
    <m/>
    <n v="0"/>
    <n v="6"/>
  </r>
  <r>
    <n v="10331"/>
    <s v="LOJA ERECHIM - RS"/>
    <s v="MAGDA LUISA DA SILVA"/>
    <x v="1"/>
    <s v="ADRIELE DA SILVA SOUZA"/>
    <s v="RS"/>
    <s v="AV. SETE DE SETEMBRO, Nº 483"/>
    <s v="CENTRO"/>
    <s v="ERECHIM"/>
    <s v="99700-000"/>
    <d v="2020-09-01T00:00:00"/>
    <d v="2020-09-01T00:00:00"/>
    <n v="4"/>
  </r>
  <r>
    <n v="2802"/>
    <s v="LOJA FLORIANOPOLIS - SC"/>
    <s v="DAIANE DA SILVA SOARES"/>
    <x v="0"/>
    <s v="ADRIELE DA SILVA SOUZA"/>
    <s v="SC"/>
    <s v="RUA DEODORO, 226 - SALA 101, EDIFÍCIO MARCO POLO"/>
    <s v="CENTRO"/>
    <s v="FLORIANOPOLIS"/>
    <s v="88010-020"/>
    <m/>
    <n v="0"/>
    <n v="5"/>
  </r>
  <r>
    <n v="200022"/>
    <s v="LOJA ITAJAI - SC"/>
    <s v="Sem supervisor"/>
    <x v="0"/>
    <s v="ADRIELE DA SILVA SOUZA"/>
    <s v="SC"/>
    <s v="RUA GIL STEIN FERREIRA, 303, SALA 1"/>
    <s v="CENTRO"/>
    <s v="ITAJAI"/>
    <s v="88301-210"/>
    <d v="2022-02-11T00:00:00"/>
    <d v="2022-02-11T00:00:00"/>
    <n v="4"/>
  </r>
  <r>
    <n v="20959"/>
    <s v="LOJA JOINVILLE - SC"/>
    <s v="SAMARA CAROLINE FERREIRA"/>
    <x v="0"/>
    <s v="ADRIELE DA SILVA SOUZA"/>
    <s v="SC"/>
    <s v="dona Francisca 114"/>
    <s v="CENTRO "/>
    <s v="JOINVILLE"/>
    <s v="89201-250"/>
    <m/>
    <n v="0"/>
    <n v="7"/>
  </r>
  <r>
    <n v="2921"/>
    <s v="LOJA LAGUNA - SC"/>
    <s v="DAYANE MENDES LEONEL MARCELINO"/>
    <x v="0"/>
    <s v="ADRIELE DA SILVA SOUZA"/>
    <s v="SC"/>
    <s v="AV ENGENHEIRO COLOMBO MACHADO SALES, N° 108"/>
    <s v="CENTRO"/>
    <s v="LAGUNA"/>
    <s v="88790-000"/>
    <d v="2020-10-05T00:00:00"/>
    <d v="2020-10-05T00:00:00"/>
    <n v="3"/>
  </r>
  <r>
    <n v="2918"/>
    <s v="LOJA PALHOÇA - SC"/>
    <s v="LUCIENE DOS SANTOS CARLOS"/>
    <x v="0"/>
    <s v="ADRIELE DA SILVA SOUZA"/>
    <s v="SC"/>
    <s v="AVENIDA BARÃO DO RIO BRANCO, Nº 56"/>
    <s v="CENTRO"/>
    <s v="PALHOCA"/>
    <s v="88130-101"/>
    <d v="2020-10-05T00:00:00"/>
    <d v="2020-10-05T00:00:00"/>
    <n v="5"/>
  </r>
  <r>
    <n v="2945"/>
    <s v="LOJA SAO JOSE - SC"/>
    <s v="GEISA PEREIRA DE SOUSA"/>
    <x v="0"/>
    <s v="ADRIELE DA SILVA SOUZA"/>
    <s v="SC"/>
    <s v="RUA: DINARTE DOMINGUES,543 LOJA 07"/>
    <s v="CAMPINAS"/>
    <s v="SAO JOSE"/>
    <s v="88101-070"/>
    <m/>
    <n v="0"/>
    <n v="3"/>
  </r>
  <r>
    <n v="20989"/>
    <s v="LOJA TUBARÃO - SC"/>
    <s v="VANESSA ANDRADE LIMA DE SOUZA"/>
    <x v="0"/>
    <s v="ADRIELE DA SILVA SOUZA"/>
    <s v="SC"/>
    <s v="AV RODOVALHO, 12 SALA 02"/>
    <s v="CENTRO"/>
    <s v="TUBARAO"/>
    <s v="88701-170"/>
    <m/>
    <n v="0"/>
    <n v="5"/>
  </r>
  <r>
    <n v="10332"/>
    <s v="LOJA CARAZINHO - RS"/>
    <s v="ANDERSON SANDERSON TURELA"/>
    <x v="1"/>
    <s v="ADRIELE DA SILVA SOUZA"/>
    <s v="RS"/>
    <s v="AV FLORES DA CUNHA, 1184 - SALA 101"/>
    <s v="CENTRO"/>
    <s v="CARAZINHO"/>
    <s v="99500-000"/>
    <d v="2020-09-01T00:00:00"/>
    <d v="2020-09-01T00:00:00"/>
    <n v="3"/>
  </r>
  <r>
    <n v="19715"/>
    <s v="LOJA CRUZ ALTA - RS"/>
    <s v="Sem supervisor"/>
    <x v="1"/>
    <s v="ADRIELE DA SILVA SOUZA"/>
    <s v="RS"/>
    <s v="RUA PINHEIRO MACHADO 865, SL 1"/>
    <s v="CENTRO"/>
    <s v="CRUZ ALTA"/>
    <s v="98005-000"/>
    <m/>
    <n v="0"/>
    <n v="4"/>
  </r>
  <r>
    <n v="1423"/>
    <s v="LOJA IJUI 1 - RS"/>
    <s v="ALINE SAULIT DA SILVEIRA"/>
    <x v="2"/>
    <s v="ADRIELE DA SILVA SOUZA"/>
    <s v="RS"/>
    <s v="RUA 15 DE NOVEMBRO, 217 - SALA 01"/>
    <s v="CENTRO"/>
    <s v="IJUI"/>
    <s v="98700-000"/>
    <m/>
    <n v="0"/>
    <n v="5"/>
  </r>
  <r>
    <n v="19777"/>
    <s v="LOJA PASSO FUNDO - RS"/>
    <s v="TIEREN ROQUE IUNG"/>
    <x v="1"/>
    <s v="ADRIELE DA SILVA SOUZA"/>
    <s v="RS"/>
    <s v="R. INDEPENDÊNCIA, 684 "/>
    <s v="CENTRO"/>
    <s v="PASSO FUNDO"/>
    <s v="99010-040"/>
    <m/>
    <n v="0"/>
    <n v="3"/>
  </r>
  <r>
    <n v="10333"/>
    <s v="LOJA PASSO FUNDO 2 - RS"/>
    <s v="EDSON JOEL CAVALHEIRO"/>
    <x v="1"/>
    <s v="ADRIELE DA SILVA SOUZA"/>
    <s v="RS"/>
    <s v="RUA CEL. CHICUTA, Nº 436, LOJA 8"/>
    <s v="CENTRO"/>
    <s v="PASSO FUNDO"/>
    <s v="99010-051"/>
    <d v="2020-09-08T00:00:00"/>
    <d v="2020-09-08T00:00:00"/>
    <n v="5"/>
  </r>
  <r>
    <n v="10650"/>
    <s v="LOJA SANTA ROSA - RS"/>
    <s v="ANA PAULA BAGETI"/>
    <x v="2"/>
    <s v="ADRIELE DA SILVA SOUZA"/>
    <s v="RS"/>
    <s v="RUA CRISTÓVÃO COLOMBO, 325 - LOJA 01"/>
    <s v="CENTRO"/>
    <s v="SANTA ROSA"/>
    <s v="98780-106"/>
    <m/>
    <n v="0"/>
    <n v="5"/>
  </r>
  <r>
    <n v="19709"/>
    <s v="LOJA SANTO ÂNGELO - RS"/>
    <s v="LUCIMARA ROSALDA EICH"/>
    <x v="2"/>
    <s v="ADRIELE DA SILVA SOUZA"/>
    <s v="RS"/>
    <s v="RUA 25 DE JULHO 584, SL 3"/>
    <s v="CENTRO"/>
    <s v="SANTO ANGELO"/>
    <s v="98801-670"/>
    <m/>
    <n v="0"/>
    <n v="5"/>
  </r>
  <r>
    <n v="19890"/>
    <s v="LOJA SOLEDADE - RS"/>
    <s v="Sem supervisor"/>
    <x v="1"/>
    <s v="ADRIELE DA SILVA SOUZA"/>
    <s v="RS"/>
    <s v="AV MAL FLORIANO PEIXOTO, 1063"/>
    <s v="CENTRO"/>
    <s v="SOLEDADE"/>
    <s v="99300-000"/>
    <m/>
    <n v="0"/>
    <n v="4"/>
  </r>
  <r>
    <n v="10201"/>
    <s v="LOJA ALEGRETE - RS"/>
    <s v="JESSICA RODRIGUES BENCKE GUTERRES"/>
    <x v="2"/>
    <s v="ADRIELE DA SILVA SOUZA"/>
    <s v="RS"/>
    <s v="R VASCO ALVES, 184 - SALA 3"/>
    <s v="CENTRO"/>
    <s v="ALEGRETE"/>
    <s v="97542-600"/>
    <m/>
    <n v="0"/>
    <n v="4"/>
  </r>
  <r>
    <n v="1407"/>
    <s v="LOJA CACHOEIRA DO SUL - RS"/>
    <s v="JESSICA DE ALMEIDA OLIVEIRA"/>
    <x v="1"/>
    <s v="ADRIELE DA SILVA SOUZA"/>
    <s v="RS"/>
    <s v="SETE DE SETEMBRO, Nº 1438"/>
    <s v="CENTRO"/>
    <s v="CACHOEIRA DO SUL"/>
    <s v="96508-010"/>
    <m/>
    <n v="0"/>
    <n v="5"/>
  </r>
  <r>
    <n v="10600"/>
    <s v="LOJA ITAQUI - RS"/>
    <s v="DEBORA MENDES DE FREITAS"/>
    <x v="2"/>
    <s v="ADRIELE DA SILVA SOUZA"/>
    <s v="RS"/>
    <s v="RUA BORGES DO CANTO,  Nº 1056"/>
    <s v="CENTRO"/>
    <s v="ITAQUI"/>
    <s v="97650-000"/>
    <m/>
    <n v="0"/>
    <n v="3"/>
  </r>
  <r>
    <n v="19710"/>
    <s v="LOJA ROSARIO DO SUL"/>
    <s v="SARA GRACIELE DE OLIVEIRA VELASQUES"/>
    <x v="2"/>
    <s v="ADRIELE DA SILVA SOUZA"/>
    <s v="RS"/>
    <s v="RUA MARECHAL FLORIANO PEIXOTO 2401"/>
    <s v="CENTRO"/>
    <s v="ROSARIO DO SUL"/>
    <s v="97590-000"/>
    <m/>
    <n v="0"/>
    <n v="5"/>
  </r>
  <r>
    <n v="1449"/>
    <s v="LOJA SANTA MARIA - RS"/>
    <s v="DEBORA LOPES FROHNHOFER"/>
    <x v="1"/>
    <s v="ADRIELE DA SILVA SOUZA"/>
    <s v="RS"/>
    <s v="RUA VENANCIO AIRES, Nº 1745 -LOJA B"/>
    <s v="CENTRO"/>
    <s v="SANTA MARIA"/>
    <s v="97010-003"/>
    <m/>
    <n v="0"/>
    <n v="6"/>
  </r>
  <r>
    <n v="10604"/>
    <s v="LOJA SANTIAGO  - RS"/>
    <s v="FABIOLA DAL ROSSO"/>
    <x v="2"/>
    <s v="ADRIELE DA SILVA SOUZA"/>
    <s v="RS"/>
    <s v="RUA PINHEIRO MACHADO, 2034"/>
    <s v="CENTRO"/>
    <s v="SANTIAGO"/>
    <s v="97700-215"/>
    <m/>
    <n v="0"/>
    <n v="4"/>
  </r>
  <r>
    <n v="10897"/>
    <s v="LOJA SAO BORJA - RS"/>
    <s v="SIDIANE FALCAO ARDAIS"/>
    <x v="2"/>
    <s v="ADRIELE DA SILVA SOUZA"/>
    <s v="RS"/>
    <s v="RUA CANDIDO FALCÃO, Nº 1086"/>
    <s v="CENTRO"/>
    <s v="SAO BORJA"/>
    <s v="97670-000"/>
    <m/>
    <n v="0"/>
    <n v="4"/>
  </r>
  <r>
    <n v="10330"/>
    <s v="LOJA SÃO GABRIEL - RS"/>
    <s v="JESSICA VENUTA DE RODRIGUES NEVES"/>
    <x v="2"/>
    <s v="ADRIELE DA SILVA SOUZA"/>
    <s v="RS"/>
    <s v="CORONEL SEZEFREDO Nº 791"/>
    <s v="CENTRO"/>
    <s v="SAO GABRIEL"/>
    <s v="97300-222"/>
    <d v="2020-09-21T00:00:00"/>
    <d v="2020-09-21T00:00:00"/>
    <n v="3"/>
  </r>
  <r>
    <n v="1485"/>
    <s v="LOJA URUGUAIANA - RS"/>
    <s v="ELIZANGELA DE OLIVEIRA WITT"/>
    <x v="2"/>
    <s v="ADRIELE DA SILVA SOUZA"/>
    <s v="RS"/>
    <s v="SANTANA Nº 2800"/>
    <s v="CENTRO"/>
    <s v="URUGUAIANA"/>
    <s v="97501-504"/>
    <m/>
    <n v="0"/>
    <n v="5"/>
  </r>
  <r>
    <n v="1487"/>
    <s v="LOJA CAMPO BOM - RS"/>
    <s v="LEONARA FABRICIA DOS SANTOS"/>
    <x v="3"/>
    <s v="ADRIELE DA SILVA SOUZA"/>
    <s v="RS"/>
    <s v="AV BRASIL 3054 SALA 3 A"/>
    <s v="CENTRO"/>
    <s v="CAMPO BOM"/>
    <s v="93700-000"/>
    <m/>
    <n v="0"/>
    <n v="4"/>
  </r>
  <r>
    <n v="1416"/>
    <s v="LOJA IGREJINHA - RS"/>
    <s v="JONAS DIAS DA SILVEIRA"/>
    <x v="3"/>
    <s v="ADRIELE DA SILVA SOUZA"/>
    <s v="RS"/>
    <s v="RUA 1º DE JUNHO, 141 - SALA 01"/>
    <s v="CENTRO"/>
    <s v="IGREJINHA"/>
    <s v="95650-000"/>
    <m/>
    <n v="0"/>
    <n v="3"/>
  </r>
  <r>
    <n v="1500"/>
    <s v="LOJA PORTO ALEGRE - ASSIS BRASIL - RS"/>
    <s v="CASSIA DA SILVA SILVEIRA"/>
    <x v="3"/>
    <s v="ADRIELE DA SILVA SOUZA"/>
    <s v="RS"/>
    <s v="AV. ASSIS BRASIL, 2654 - LOJA 07"/>
    <s v="CRISTO REDENTOR"/>
    <s v="PORTO ALEGRE"/>
    <s v="91060-290"/>
    <m/>
    <n v="0"/>
    <n v="5"/>
  </r>
  <r>
    <n v="19778"/>
    <s v="LOJA PORTO ALEGRE - VIGARIO - RS"/>
    <s v="SHAIENE DA CRUZ XAVIER"/>
    <x v="3"/>
    <s v="ADRIELE DA SILVA SOUZA"/>
    <s v="RS"/>
    <s v="VIGÁRIO JOSE INÁCIO, 258"/>
    <s v="CENTRO HISTÓRICO"/>
    <s v="PORTO ALEGRE"/>
    <s v="90020-100"/>
    <m/>
    <n v="0"/>
    <n v="10"/>
  </r>
  <r>
    <n v="1424"/>
    <s v="LOJA ROLANTE - RS"/>
    <s v="DEBORA DAIANA MARTINI"/>
    <x v="3"/>
    <s v="ADRIELE DA SILVA SOUZA"/>
    <s v="RS"/>
    <s v="AV. BORGES DE MEDEIROS, 1909"/>
    <s v="CENTRO"/>
    <s v="ROLANTE"/>
    <s v="95690-000"/>
    <m/>
    <n v="0"/>
    <n v="3"/>
  </r>
  <r>
    <n v="1427"/>
    <s v="LOJA SANTO ANTONIO DA PATRULHA - RS"/>
    <s v="LUCAS GABRIEL FAGUNDES DE SOUZA DA SILVA"/>
    <x v="3"/>
    <s v="ADRIELE DA SILVA SOUZA"/>
    <s v="RS"/>
    <s v="AV.PAULO MACIEL DE MORAES 1040"/>
    <s v="CENTRO"/>
    <s v="SANTO ANTONIO DA PATRULHA"/>
    <s v="95500-000"/>
    <m/>
    <n v="0"/>
    <n v="3"/>
  </r>
  <r>
    <n v="1403"/>
    <s v="LOJA SAPIRANGA - RS"/>
    <s v="KAREN FRANCIELEN RODRIGUES JARDIM"/>
    <x v="3"/>
    <s v="ADRIELE DA SILVA SOUZA"/>
    <s v="RS"/>
    <s v="AV VINTE DE SETEMBRO, 3801 SALA 06"/>
    <s v="CENTRO"/>
    <s v="SAPIRANGA"/>
    <s v="93800-238"/>
    <m/>
    <n v="0"/>
    <n v="3"/>
  </r>
  <r>
    <n v="1420"/>
    <s v="LOJA TAQUARA - RS"/>
    <s v="LUIZ HENRIQUE BRANDALIZE"/>
    <x v="3"/>
    <s v="ADRIELE DA SILVA SOUZA"/>
    <s v="RS"/>
    <s v="RUA GUILHERME LAHN, 1282"/>
    <s v="CENTRO"/>
    <s v="TAQUARA"/>
    <s v="95600-104"/>
    <m/>
    <n v="0"/>
    <n v="5"/>
  </r>
  <r>
    <n v="1497"/>
    <s v="LOJA TORRES - RS"/>
    <s v="JULIE BARBOSA"/>
    <x v="3"/>
    <s v="ADRIELE DA SILVA SOUZA"/>
    <s v="RS"/>
    <s v="XV DE NOVEMBRO 212 LOJA 01"/>
    <s v="CENTRO"/>
    <s v="TORRES"/>
    <s v="95560-000"/>
    <m/>
    <n v="0"/>
    <n v="3"/>
  </r>
  <r>
    <n v="1496"/>
    <s v="LOJA TRAMANDAI - RS"/>
    <s v="MIKE SANTOLIN DA SILVA"/>
    <x v="3"/>
    <s v="ADRIELE DA SILVA SOUZA"/>
    <s v="RS"/>
    <s v="FERNANDES BASTOS 329 SALA 28 E 29"/>
    <s v="CENTRO"/>
    <s v="TRAMANDAI"/>
    <s v="95590-000"/>
    <m/>
    <n v="0"/>
    <n v="5"/>
  </r>
  <r>
    <n v="19714"/>
    <s v="LOJA TRES COROAS - RS"/>
    <s v="RAFAEL LEMOS"/>
    <x v="3"/>
    <s v="ADRIELE DA SILVA SOUZA"/>
    <s v="RS"/>
    <s v="RUA MUNDO NOVO 188"/>
    <s v="CENTRO"/>
    <s v="TRES COROAS"/>
    <s v="95660-000"/>
    <m/>
    <n v="0"/>
    <n v="3"/>
  </r>
  <r>
    <n v="1402"/>
    <s v="LOJA CANOAS - CENTRO - RS"/>
    <s v="MICHELE MARTINS DOS SANTOS"/>
    <x v="4"/>
    <s v="ADRIELE DA SILVA SOUZA"/>
    <s v="RS"/>
    <s v="RUA TIRADENTES, 216 - LOJA 06"/>
    <s v="CENTRO"/>
    <s v="CANOAS"/>
    <s v="92010-260"/>
    <m/>
    <n v="0"/>
    <n v="6"/>
  </r>
  <r>
    <n v="1458"/>
    <s v="LOJA CANOAS - GUAJUVIRAS - RS"/>
    <s v="FABIELI DE ARAUJO VIEIRA MARTINS"/>
    <x v="4"/>
    <s v="ADRIELE DA SILVA SOUZA"/>
    <s v="RS"/>
    <s v="RUA BOQUEIRÃO Nº 706 SALA 02"/>
    <s v="GUAJUVIRAS"/>
    <s v="CANOAS"/>
    <s v="92032-420"/>
    <m/>
    <n v="0"/>
    <n v="4"/>
  </r>
  <r>
    <n v="1421"/>
    <s v="LOJA ESTEIO - RS"/>
    <s v="JIANINI DA SILVA MARIN"/>
    <x v="4"/>
    <s v="ADRIELE DA SILVA SOUZA"/>
    <s v="RS"/>
    <s v="AV. PRESIDENTE VARGAS,2123"/>
    <s v="CENTRO"/>
    <s v="ESTEIO"/>
    <s v="93270-580"/>
    <m/>
    <n v="0"/>
    <n v="7"/>
  </r>
  <r>
    <n v="1476"/>
    <s v="LOJA NOVO HAMBURGO - RS"/>
    <s v="JESSICA LUANA SIQUEIRA COELHO"/>
    <x v="4"/>
    <s v="ADRIELE DA SILVA SOUZA"/>
    <s v="RS"/>
    <s v="AV CALCADAO OSVALDO CRUZ, 127"/>
    <s v="CENTRO"/>
    <s v="NOVO HAMBURGO"/>
    <s v="93510-015"/>
    <m/>
    <n v="0"/>
    <n v="6"/>
  </r>
  <r>
    <n v="10678"/>
    <s v="LOJA NOVO HAMBURGO 2 - RS"/>
    <s v="ALEX SANDER MAUZER MACEDO"/>
    <x v="4"/>
    <s v="ADRIELE DA SILVA SOUZA"/>
    <s v="RS"/>
    <s v="RUA BENTO GONÇALVES, 2423, SALA 01"/>
    <s v="CENTRO"/>
    <s v="NOVO HAMBURGO"/>
    <s v="93510-000"/>
    <m/>
    <n v="0"/>
    <n v="5"/>
  </r>
  <r>
    <n v="1417"/>
    <s v="LOJA SAO LEOPOLDO - RS"/>
    <s v="FERNANDA COSTA DA ROCHA "/>
    <x v="4"/>
    <s v="ADRIELE DA SILVA SOUZA"/>
    <s v="RS"/>
    <s v="RUA INDEPENDENCIA, 636 - LOJA 6"/>
    <s v="CENTRO"/>
    <s v="SAO LEOPOLDO"/>
    <s v="93010-002"/>
    <m/>
    <n v="0"/>
    <n v="5"/>
  </r>
  <r>
    <n v="10627"/>
    <s v="LOJA SAO LEOPOLDO II - RS"/>
    <s v="MARISANGELA SCHIEFELBEIN"/>
    <x v="4"/>
    <s v="ADRIELE DA SILVA SOUZA"/>
    <s v="RS"/>
    <s v="RUA LINDOLFO COLLOR, Nº 789 SALA 1"/>
    <s v="CENTRO"/>
    <s v="SAO LEOPOLDO"/>
    <s v="93010-080"/>
    <m/>
    <n v="0"/>
    <n v="5"/>
  </r>
  <r>
    <n v="1418"/>
    <s v="LOJA SAPUCAIA DO SUL I - RS"/>
    <s v="MAGLUSON SCHARDONG MATOZO"/>
    <x v="4"/>
    <s v="ADRIELE DA SILVA SOUZA"/>
    <s v="RS"/>
    <s v="RUA: CEL. JOÃO CORRÊA, 23 LOJA 05"/>
    <s v="CENTRO"/>
    <s v="SAPUCAIA DO SUL"/>
    <s v="93220-100"/>
    <m/>
    <n v="0"/>
    <n v="6"/>
  </r>
  <r>
    <n v="1419"/>
    <s v="LOJA SAPUCAIA DO SUL II - RS"/>
    <s v="BRUNA DE ARAUJO VIEIRA DA ROSA"/>
    <x v="4"/>
    <s v="ADRIELE DA SILVA SOUZA"/>
    <s v="RS"/>
    <s v="AVENIDA SAPUCAIA, 2089 "/>
    <s v="CENTRO"/>
    <s v="SAPUCAIA DO SUL"/>
    <s v="93210-240"/>
    <m/>
    <n v="0"/>
    <n v="5"/>
  </r>
  <r>
    <n v="600076"/>
    <s v="LOJA DIADEMA - SP"/>
    <s v="JOSE ULISSES FELIX DA SILVA"/>
    <x v="5"/>
    <s v="CINARA REGINA KEMERICH"/>
    <s v="SP"/>
    <s v="RUA NOSSA SENHORA DAS VITORIAS, 79"/>
    <s v="CENTRO"/>
    <s v="DIADEMA"/>
    <s v="09910-140"/>
    <d v="2022-03-28T00:00:00"/>
    <d v="2022-03-28T00:00:00"/>
    <n v="5"/>
  </r>
  <r>
    <n v="600075"/>
    <s v="LOJA MAUA - SP"/>
    <s v="CINDY MAGALI DE SANTO DELGADO"/>
    <x v="5"/>
    <s v="CINARA REGINA KEMERICH"/>
    <s v="SP"/>
    <s v="RUA RUI BARBOSA, 35"/>
    <s v="CENTRO"/>
    <s v="MAUA"/>
    <s v="09390-000"/>
    <d v="2022-04-11T00:00:00"/>
    <d v="2022-04-11T00:00:00"/>
    <n v="4"/>
  </r>
  <r>
    <n v="600080"/>
    <s v="LOJA MOGI DAS CRUZES - SP"/>
    <s v="SIDNEY GOMES JUNIOR"/>
    <x v="6"/>
    <s v="CINARA REGINA KEMERICH"/>
    <s v="SP"/>
    <s v="RUA JOSÉ BONIFACIO, 178"/>
    <s v="CENTRO"/>
    <s v="MOGI DAS CRUZES"/>
    <s v="08710-070"/>
    <d v="2022-04-04T00:00:00"/>
    <d v="2022-04-04T00:00:00"/>
    <n v="5"/>
  </r>
  <r>
    <n v="5503"/>
    <s v="LOJA PRAIA GRANDE - SP"/>
    <s v="LETICIA URBANO DE JESUS NEVES"/>
    <x v="5"/>
    <s v="CINARA REGINA KEMERICH"/>
    <s v="SP"/>
    <s v="RUA DR VICENTE DE CARVALHO, 531 LOJA 4"/>
    <s v="OCIAN"/>
    <s v="PRAIA GRANDE"/>
    <s v="11704-300"/>
    <m/>
    <n v="0"/>
    <n v="3"/>
  </r>
  <r>
    <n v="600077"/>
    <s v="LOJA SANTO ANDRE - SP"/>
    <s v="ELAINE CRISTINA ALVES DA SILVA"/>
    <x v="5"/>
    <s v="CINARA REGINA KEMERICH"/>
    <s v="SP"/>
    <s v="RUA CORONEL FRANCISCO AMARO, 267, SL 2 EDIF. FRANC"/>
    <s v="CENTRO"/>
    <s v="SANTO ANDRE"/>
    <s v="09020-250"/>
    <d v="2022-04-26T00:00:00"/>
    <d v="2022-04-26T00:00:00"/>
    <n v="6"/>
  </r>
  <r>
    <n v="50731"/>
    <s v="LOJA SANTOS - SP"/>
    <s v="SILVANA DE FATIMA CENCI"/>
    <x v="5"/>
    <s v="CINARA REGINA KEMERICH"/>
    <s v="SP"/>
    <s v="RUA FREI GASPAR, 83"/>
    <s v="CENTRO"/>
    <s v="SANTOS"/>
    <s v="11010-090"/>
    <m/>
    <n v="0"/>
    <n v="5"/>
  </r>
  <r>
    <n v="600078"/>
    <s v="LOJA SAO CAETANO - SP"/>
    <s v="JOAO GABRIEL SANTANA SANTOS"/>
    <x v="6"/>
    <s v="CINARA REGINA KEMERICH"/>
    <s v="SP"/>
    <s v="RUA MANOEL COELHO, 325, LOJA 20"/>
    <s v="CENTRO"/>
    <s v="SAO CAETANO DO SUL"/>
    <s v="09510-110"/>
    <d v="2022-04-26T00:00:00"/>
    <d v="2022-04-26T00:00:00"/>
    <n v="4"/>
  </r>
  <r>
    <n v="50400"/>
    <s v="LOJA SAO VICENTE - SP"/>
    <s v="DARLANE MACEDO FRAGA"/>
    <x v="5"/>
    <s v="CINARA REGINA KEMERICH"/>
    <s v="SP"/>
    <s v="RUA JACOB EMERICK, 393 LOJA 2"/>
    <s v="CENTRO"/>
    <s v="SAO VICENTE"/>
    <s v="11310-010"/>
    <m/>
    <n v="0"/>
    <n v="7"/>
  </r>
  <r>
    <n v="600064"/>
    <s v="LOJA SUZANO SP"/>
    <s v="Sem supervisor"/>
    <x v="7"/>
    <s v="CINARA REGINA KEMERICH"/>
    <s v="SP"/>
    <s v="RUA GERERAL FRANCISCO GLICERIO 950"/>
    <s v="CENTRO"/>
    <s v="SUZANO"/>
    <s v="08674-002"/>
    <d v="2021-12-14T00:00:00"/>
    <d v="2021-12-14T00:00:00"/>
    <n v="5"/>
  </r>
  <r>
    <n v="50809"/>
    <s v="LOJA ARARAQUARA - SP"/>
    <s v="KAREN GOMES DE OLIVEIRA"/>
    <x v="8"/>
    <s v="CINARA REGINA KEMERICH"/>
    <s v="SP"/>
    <s v="AV.FEIJO Nº 336 "/>
    <s v="CENTRO"/>
    <s v="ARARAQUARA"/>
    <s v="14801-140"/>
    <m/>
    <n v="0"/>
    <n v="5"/>
  </r>
  <r>
    <n v="54469"/>
    <s v="LOJA BARAO GERALDO - SP"/>
    <s v="HEVELINS CARVALHO DA SILVA"/>
    <x v="9"/>
    <s v="CINARA REGINA KEMERICH"/>
    <s v="SP"/>
    <s v="Rua Horácio Leonardi 92"/>
    <s v="BARÃO GERALDO"/>
    <s v="CAMPINAS"/>
    <s v="13084-105"/>
    <d v="2022-04-04T00:00:00"/>
    <d v="2022-04-04T00:00:00"/>
    <n v="4"/>
  </r>
  <r>
    <n v="53556"/>
    <s v="LOJA BAURU - SP"/>
    <s v="NATALIA NOVELLI"/>
    <x v="8"/>
    <s v="CINARA REGINA KEMERICH"/>
    <s v="SP"/>
    <s v="RUA TREZE DE MAIO, N 3-20 "/>
    <s v="CENTRO"/>
    <s v="BAURU"/>
    <s v="17010-230"/>
    <m/>
    <n v="0"/>
    <n v="6"/>
  </r>
  <r>
    <n v="5502"/>
    <s v="LOJA CAMPINAS - SP"/>
    <s v="Sem supervisor"/>
    <x v="9"/>
    <s v="CINARA REGINA KEMERICH"/>
    <s v="SP"/>
    <s v="RUA JOSÉ PAULINO Nº 753"/>
    <s v="CENTRO"/>
    <s v="CAMPINAS"/>
    <s v="13013-001"/>
    <m/>
    <n v="0"/>
    <n v="5"/>
  </r>
  <r>
    <n v="54464"/>
    <s v="LOJA JAU - SP"/>
    <s v="LIDIA BRUNA AMADEU XAVIER"/>
    <x v="8"/>
    <s v="CINARA REGINA KEMERICH"/>
    <s v="SP"/>
    <s v="LOURENÇO PRADO, Nº 236 "/>
    <s v="CENTRO"/>
    <s v="JAU"/>
    <s v="17201-000"/>
    <d v="2021-01-25T00:00:00"/>
    <d v="2021-01-25T00:00:00"/>
    <n v="4"/>
  </r>
  <r>
    <n v="54465"/>
    <s v="LOJA LIMEIRA - SP"/>
    <s v="EVA MONICA RAFAELA ALVES"/>
    <x v="9"/>
    <s v="CINARA REGINA KEMERICH"/>
    <s v="SP"/>
    <s v="PRAÇA TOLEDO BARROS, Nº 296"/>
    <s v="CENTRO"/>
    <s v="LIMEIRA"/>
    <s v="13480-008"/>
    <d v="2021-01-18T00:00:00"/>
    <d v="2021-01-18T00:00:00"/>
    <n v="4"/>
  </r>
  <r>
    <n v="54466"/>
    <s v="LOJA MARILIA - SP"/>
    <s v="Sem supervisor"/>
    <x v="8"/>
    <s v="CINARA REGINA KEMERICH"/>
    <s v="SP"/>
    <s v="AV SAMPAIO VIDAL, Nº 851"/>
    <s v="CENTRO"/>
    <s v="MARILIA"/>
    <s v="17525-040"/>
    <d v="2021-01-18T00:00:00"/>
    <d v="2021-01-18T00:00:00"/>
    <n v="5"/>
  </r>
  <r>
    <n v="54471"/>
    <s v="LOJA OURINHOS - SP"/>
    <s v="Sem supervisor"/>
    <x v="8"/>
    <s v="CINARA REGINA KEMERICH"/>
    <s v="SP"/>
    <s v="AV. DOUTOR ALTINO ARANTES, 180"/>
    <s v="CENTRO"/>
    <s v="OURINHOS"/>
    <s v="19900-041"/>
    <d v="2021-02-15T00:00:00"/>
    <d v="2021-02-15T00:00:00"/>
    <n v="4"/>
  </r>
  <r>
    <n v="54444"/>
    <s v="LOJA PIRACICABA - SP"/>
    <s v="ROSEMEIRE GUERRERO NEVES"/>
    <x v="9"/>
    <s v="CINARA REGINA KEMERICH"/>
    <s v="SP"/>
    <s v="PRAÇA JOSÉ BONIFÁCIO, 813"/>
    <s v="CENTRO"/>
    <s v="PIRACICABA"/>
    <s v="13400-340"/>
    <d v="2021-01-18T00:00:00"/>
    <d v="2021-01-18T00:00:00"/>
    <n v="5"/>
  </r>
  <r>
    <n v="50499"/>
    <s v="LOJA RIBEIRAO PRETO - SP"/>
    <s v="JEFERSON CARLOS BOA PIMENTA"/>
    <x v="8"/>
    <s v="CINARA REGINA KEMERICH"/>
    <s v="SP"/>
    <s v="RUA AMADOR BUENO Nº 620"/>
    <s v="CENTRO"/>
    <s v="RIBEIRAO PRETO"/>
    <s v="14010-070"/>
    <m/>
    <n v="0"/>
    <n v="5"/>
  </r>
  <r>
    <n v="54467"/>
    <s v="LOJA RIO CLARO - SP"/>
    <s v="THAINA MARCHI CONEJO"/>
    <x v="9"/>
    <s v="CINARA REGINA KEMERICH"/>
    <s v="SP"/>
    <s v="Rua 04, 1143"/>
    <s v="CENTRO"/>
    <s v="RIO CLARO"/>
    <s v="13500-170"/>
    <d v="2021-01-18T00:00:00"/>
    <d v="2021-01-18T00:00:00"/>
    <n v="5"/>
  </r>
  <r>
    <n v="54468"/>
    <s v="LOJA SÃO CARLOS - SP"/>
    <s v="VITORIA FAION STETER"/>
    <x v="9"/>
    <s v="CINARA REGINA KEMERICH"/>
    <s v="SP"/>
    <s v="AV SÃO CARLOS, Nº 1175"/>
    <s v="CENTRO"/>
    <s v="SAO CARLOS"/>
    <s v="13560-010"/>
    <d v="2021-02-01T00:00:00"/>
    <d v="2021-02-01T00:00:00"/>
    <n v="4"/>
  </r>
  <r>
    <n v="50590"/>
    <s v="LOJA SAO JOSE DO RIO PRETO - SP"/>
    <s v="NORIVAL JUNIOR PIRRI"/>
    <x v="8"/>
    <s v="CINARA REGINA KEMERICH"/>
    <s v="SP"/>
    <s v="GENERAL GLICÉRIO Nº 3181 "/>
    <s v="CENTRO"/>
    <s v="SAO JOSE DO RIO PRETO"/>
    <s v="15015-400"/>
    <m/>
    <n v="0"/>
    <n v="4"/>
  </r>
  <r>
    <n v="50850"/>
    <s v="LOJA SUMARE - SP"/>
    <s v="Sem supervisor"/>
    <x v="9"/>
    <s v="CINARA REGINA KEMERICH"/>
    <s v="SP"/>
    <s v="ANTONIO DO VALE MELLO Nº 658"/>
    <s v="CENTRO"/>
    <s v="SUMARE"/>
    <s v="13170-010"/>
    <m/>
    <n v="0"/>
    <n v="5"/>
  </r>
  <r>
    <n v="6000034"/>
    <s v="LOJA VALINHOS - SP"/>
    <s v="MYLENA CRISTINA PINHEIRO"/>
    <x v="9"/>
    <s v="CINARA REGINA KEMERICH"/>
    <s v="SP"/>
    <s v="RUA TREZE DE MAIO, 155, SALA 01 E 03"/>
    <s v="CENTRO"/>
    <s v="VALINHOS"/>
    <s v="13270-020"/>
    <d v="2022-03-28T00:00:00"/>
    <d v="2022-03-28T00:00:00"/>
    <n v="4"/>
  </r>
  <r>
    <n v="6000043"/>
    <s v="LOJA ARTHUR ALVIM - SP"/>
    <s v="CRISTIANE DE LATORRE JODAS"/>
    <x v="7"/>
    <s v="CINARA REGINA KEMERICH"/>
    <s v="SP"/>
    <s v="RUA DOUTOR CAMPOS MOURA , 99 SALA 1"/>
    <s v="ARTHUR ALVIM "/>
    <s v="SAO PAULO"/>
    <s v="03568-010"/>
    <d v="2022-06-01T00:00:00"/>
    <d v="2022-06-01T00:00:00"/>
    <n v="4"/>
  </r>
  <r>
    <n v="5504"/>
    <s v="LOJA ITAQUAQUECETUBA - SP"/>
    <s v="FABIANA DO NASCIMENTO VIEIRA PRIMO"/>
    <x v="7"/>
    <s v="CINARA REGINA KEMERICH"/>
    <s v="SP"/>
    <s v="RUA SEBASTIÃO FERREIRA DOS SANTOS Nº 102, SALA 04"/>
    <s v="CENTRO"/>
    <s v="ITAQUAQUECETUBA"/>
    <s v="08570-060"/>
    <m/>
    <n v="0"/>
    <n v="5"/>
  </r>
  <r>
    <n v="5501"/>
    <s v="LOJA ITAQUERA - SP"/>
    <s v="CARLA ALVES ALBUQUERQUE CARNEIRO"/>
    <x v="7"/>
    <s v="CINARA REGINA KEMERICH"/>
    <s v="SP"/>
    <s v="RUA GREGORIO RAMALHO, 71"/>
    <s v="ITAQUERA"/>
    <s v="SAO PAULO"/>
    <s v="08210-430"/>
    <m/>
    <n v="0"/>
    <n v="5"/>
  </r>
  <r>
    <n v="6000036"/>
    <s v="LOJA MATEUS - SP"/>
    <s v="KAMILA TAUBALD"/>
    <x v="7"/>
    <s v="CINARA REGINA KEMERICH"/>
    <s v="SP"/>
    <s v="AVENIDA MATEO BEI, 2541"/>
    <s v="SÃO MATEUS"/>
    <s v="SAO PAULO"/>
    <s v="03949-012"/>
    <d v="2022-04-04T00:00:00"/>
    <d v="2022-04-04T00:00:00"/>
    <n v="4"/>
  </r>
  <r>
    <n v="6000040"/>
    <s v="LOJA SAO MIGUEL - SP"/>
    <s v="SIDNEY DOS SANTOS ROSA"/>
    <x v="7"/>
    <s v="CINARA REGINA KEMERICH"/>
    <s v="SP"/>
    <s v="AV. MARECHAL TITO, 1000"/>
    <s v="SAO MIGUEL PAULISTA"/>
    <s v="SAO PAULO"/>
    <s v="08010-090"/>
    <d v="2022-04-27T00:00:00"/>
    <d v="2022-04-27T00:00:00"/>
    <n v="4"/>
  </r>
  <r>
    <n v="5506"/>
    <s v="LOJA SAO PAULO - PENHA - SP"/>
    <s v="NATALIA DE SOUZA"/>
    <x v="7"/>
    <s v="CINARA REGINA KEMERICH"/>
    <s v="SP"/>
    <s v="RUA: PADRE JOÃO,  257"/>
    <s v="PENHA"/>
    <s v="SAO PAULO"/>
    <s v="03637-000"/>
    <m/>
    <n v="0"/>
    <n v="4"/>
  </r>
  <r>
    <n v="600081"/>
    <s v="LOJA TATUAPE - SP"/>
    <s v="JULIA DE ALMEIDA SILVA"/>
    <x v="7"/>
    <s v="CINARA REGINA KEMERICH"/>
    <s v="SP"/>
    <s v="RUA TUIUTI, 2179"/>
    <s v="TATUAPE"/>
    <s v="SAO PAULO"/>
    <s v="03307-005"/>
    <d v="2022-04-04T00:00:00"/>
    <d v="2022-04-04T00:00:00"/>
    <n v="4"/>
  </r>
  <r>
    <n v="31174"/>
    <s v="LOJA ALMIRANTE TAMANDARÉ - PR"/>
    <s v="ANA CAROLINA RIBEIRO"/>
    <x v="10"/>
    <s v="CINARA REGINA KEMERICH"/>
    <s v="PR"/>
    <s v="AV. EMÍLIO JOHSON, Nº 174"/>
    <s v="VILA SANTA TEREZINHA"/>
    <s v="ALMIRANTE TAMANDARE"/>
    <s v="83501-000"/>
    <m/>
    <n v="0"/>
    <n v="4"/>
  </r>
  <r>
    <n v="3802"/>
    <s v="LOJA CURITIBA - PR"/>
    <s v="IZABEL CRISTINA SILVEIRA"/>
    <x v="10"/>
    <s v="CINARA REGINA KEMERICH"/>
    <s v="PR"/>
    <s v="RUA ANDRE DE BARROS Nº 205"/>
    <s v="CENTRO"/>
    <s v="CURITIBA"/>
    <s v="80010-080"/>
    <m/>
    <n v="0"/>
    <n v="6"/>
  </r>
  <r>
    <n v="3801"/>
    <s v="LOJA FAZENDA RIO GRANDE - PR"/>
    <s v="PEDRO HENRIQUE BATISTA DA COSTA"/>
    <x v="10"/>
    <s v="CINARA REGINA KEMERICH"/>
    <s v="PR"/>
    <s v="RUA:CESAR CARELLI  Nº 151 SALA 1 "/>
    <s v="PIONEIROS"/>
    <s v="FAZENDA RIO GRANDE"/>
    <s v="83833-054"/>
    <m/>
    <n v="0"/>
    <n v="4"/>
  </r>
  <r>
    <n v="30110"/>
    <s v="LOJA PARANAGUA - PR"/>
    <s v="SUZIANNE FERNANDES DE MORAIS"/>
    <x v="10"/>
    <s v="CINARA REGINA KEMERICH"/>
    <s v="PR"/>
    <s v="TRAVESSA NOVE DE AGOSTO Nº 13"/>
    <s v="CENTRO HISTORICO"/>
    <s v="PARANAGUA"/>
    <s v="83203-006"/>
    <m/>
    <n v="0"/>
    <n v="6"/>
  </r>
  <r>
    <n v="31220"/>
    <s v="LOJA PONTA GROSSA - PR"/>
    <s v="CAMILA ANAIR MOREIRA"/>
    <x v="10"/>
    <s v="CINARA REGINA KEMERICH"/>
    <s v="PR"/>
    <s v="RUA SANTOS DUMONT Nº 882."/>
    <s v="CENTRO"/>
    <s v="PONTA GROSSA"/>
    <s v="84010-360"/>
    <m/>
    <n v="0"/>
    <n v="5"/>
  </r>
  <r>
    <n v="31175"/>
    <s v="LOJA SAO JOSÉ DOS PINHAIS"/>
    <s v="Sem supervisor"/>
    <x v="10"/>
    <s v="CINARA REGINA KEMERICH"/>
    <s v="PR"/>
    <s v="RUA DR. MARCELINO NOGUEIRA 190"/>
    <s v="CENTRO"/>
    <s v="SAO JOSE DOS PINHAIS"/>
    <s v="83005-370"/>
    <m/>
    <n v="0"/>
    <n v="4"/>
  </r>
  <r>
    <n v="6000038"/>
    <s v="LOJA ATIBAIA - SP"/>
    <s v="EVELYN SUZAN CONCEICAO SENA"/>
    <x v="6"/>
    <s v="CINARA REGINA KEMERICH"/>
    <s v="SP"/>
    <s v="RUA THOME FRANCO, 258"/>
    <s v="CENTRO"/>
    <s v="ATIBAIA"/>
    <s v="12940-680"/>
    <d v="2022-05-10T00:00:00"/>
    <d v="2022-05-10T00:00:00"/>
    <n v="4"/>
  </r>
  <r>
    <n v="6000045"/>
    <s v="LOJA FRANCISCO MORATO - SP"/>
    <s v="PATRICIA GOMES JEREMIAS"/>
    <x v="6"/>
    <s v="CINARA REGINA KEMERICH"/>
    <s v="SP"/>
    <s v="RUA JOAO MENDES JUNIOR 63 SALA 05"/>
    <s v="CENTRO"/>
    <s v="SAO PAULO"/>
    <s v="07910-210"/>
    <d v="2022-08-16T00:00:00"/>
    <m/>
    <n v="4"/>
  </r>
  <r>
    <n v="600079"/>
    <s v="LOJA FRANCO DA ROCHA - SP"/>
    <s v="CARLOS ALBERTO PIRANI JUNIOR"/>
    <x v="6"/>
    <s v="CINARA REGINA KEMERICH"/>
    <s v="SP"/>
    <s v="RUA AZEVEDO SOARES, 184, SALA 4"/>
    <s v="CENTRO"/>
    <s v="FRANCO DA ROCHA"/>
    <s v="07851-010"/>
    <d v="2022-04-26T00:00:00"/>
    <d v="2022-04-26T00:00:00"/>
    <n v="4"/>
  </r>
  <r>
    <n v="50734"/>
    <s v="LOJA GUARULHOS - SP"/>
    <s v="MIRIAM DE SALLES BARBIERI"/>
    <x v="7"/>
    <s v="CINARA REGINA KEMERICH"/>
    <s v="SP"/>
    <s v="RUA OSWALDO CRUZ, 36"/>
    <s v="CENTRO"/>
    <s v="GUARULHOS"/>
    <s v="07010-020"/>
    <m/>
    <n v="0"/>
    <n v="5"/>
  </r>
  <r>
    <n v="54512"/>
    <s v="LOJA JUNDIAI - SP"/>
    <s v="NICOLE CRISTINA MENDES"/>
    <x v="6"/>
    <s v="CINARA REGINA KEMERICH"/>
    <s v="SP"/>
    <s v="RUA VIGARIO JOAO JOSE RODRIGUES 969"/>
    <s v="CENTRO"/>
    <s v="JUNDIAI"/>
    <s v="13201-001"/>
    <d v="2021-04-05T00:00:00"/>
    <d v="2021-04-05T00:00:00"/>
    <n v="5"/>
  </r>
  <r>
    <n v="50550"/>
    <s v="LOJA OSASCO - SP"/>
    <s v="ANDRESSA CRISTINA FERREIRA DA SILVA DE SOUZA"/>
    <x v="6"/>
    <s v="CINARA REGINA KEMERICH"/>
    <s v="SP"/>
    <s v="R  PRIMITIVA VIANCO , 657"/>
    <s v="CENTRO"/>
    <s v="OSASCO"/>
    <s v="06016-008"/>
    <m/>
    <n v="0"/>
    <n v="6"/>
  </r>
  <r>
    <n v="52012"/>
    <s v="LOJA SAO BENTO - SP"/>
    <s v="INDIAMARA CAMARGO DE PAULA"/>
    <x v="6"/>
    <s v="CINARA REGINA KEMERICH"/>
    <s v="SP"/>
    <s v="RUA SÃO BENTO 315, LJ 17"/>
    <s v="CENTRO"/>
    <s v="SAO PAULO"/>
    <s v="01010-000"/>
    <m/>
    <n v="0"/>
    <n v="4"/>
  </r>
  <r>
    <n v="6000033"/>
    <s v="LOJA SAO ROQUE - SP"/>
    <s v="CLEONICE VIANA DE JESUS"/>
    <x v="6"/>
    <s v="CINARA REGINA KEMERICH"/>
    <s v="SP"/>
    <s v="RUA PADRE MARÇAL, 55"/>
    <s v="CENTRO"/>
    <s v="SAO ROQUE"/>
    <s v="18130-100"/>
    <d v="2022-05-10T00:00:00"/>
    <d v="2022-05-10T00:00:00"/>
    <n v="3"/>
  </r>
  <r>
    <n v="600055"/>
    <s v="LOJA TERMINAL PIMENTAS - SP"/>
    <s v="KAIQUE FERNANDO GRANUCCI"/>
    <x v="7"/>
    <s v="CINARA REGINA KEMERICH"/>
    <s v="SP"/>
    <s v="EST. PRESIDENTE JUSCELINO KUBITSCHEK DE OLIVEIRA"/>
    <s v="JARDIM ALBERTINA"/>
    <s v="GUARULHOS"/>
    <s v="07252-000"/>
    <d v="2022-01-18T00:00:00"/>
    <d v="2022-01-18T00:00:00"/>
    <n v="3"/>
  </r>
  <r>
    <n v="1435"/>
    <s v="LOJA BUTIA - RS"/>
    <s v="PATRICIA IGNACIO ANTUNES"/>
    <x v="11"/>
    <s v="ADRIELE DA SILVA SOUZA"/>
    <s v="RS"/>
    <s v="AV. LEANDRO DE ALMEIDA, 622"/>
    <s v="CENTRO"/>
    <s v="BUTIA"/>
    <s v="96750-000"/>
    <m/>
    <n v="0"/>
    <n v="3"/>
  </r>
  <r>
    <n v="1434"/>
    <s v="LOJA CACHOEIRINHA - RS"/>
    <s v="PATRICIA SOARES DE OLIVEIRA "/>
    <x v="11"/>
    <s v="ADRIELE DA SILVA SOUZA"/>
    <s v="RS"/>
    <s v="R EURIPEDES AURELIO DA SILVA, 12 - LJ 04"/>
    <s v="CENTRO"/>
    <s v="CACHOEIRINHA"/>
    <s v="94920-250"/>
    <m/>
    <n v="0"/>
    <n v="5"/>
  </r>
  <r>
    <n v="19901"/>
    <s v="LOJA CHARQUEADAS - RS"/>
    <s v="FRANCINE ANSELMO RUDEK"/>
    <x v="11"/>
    <s v="ADRIELE DA SILVA SOUZA"/>
    <s v="RS"/>
    <s v="AV. DR JOSE ATHANÁSIO, 129 SALA A"/>
    <s v="CENTRO"/>
    <s v="CHARQUEADAS"/>
    <s v="96745-000"/>
    <m/>
    <n v="0"/>
    <n v="3"/>
  </r>
  <r>
    <n v="1432"/>
    <s v="LOJA GRAVATAI - RS"/>
    <s v="KAMILA TARIGA DE MATTOS"/>
    <x v="11"/>
    <s v="ADRIELE DA SILVA SOUZA"/>
    <s v="RS"/>
    <s v="RUA CORONEL FONSECA, 772"/>
    <s v="CENTRO"/>
    <s v="GRAVATAI"/>
    <s v="94010-190"/>
    <m/>
    <n v="0"/>
    <n v="5"/>
  </r>
  <r>
    <n v="1405"/>
    <s v="LOJA GUAIBA - RS"/>
    <s v="ALEXANDRE PRADO BARBOSA"/>
    <x v="3"/>
    <s v="ADRIELE DA SILVA SOUZA"/>
    <s v="RS"/>
    <s v="RUA CONEGO SCHERER, 556"/>
    <s v="CENTRO"/>
    <s v="GUAIBA"/>
    <s v="92704-560"/>
    <m/>
    <n v="0"/>
    <n v="4"/>
  </r>
  <r>
    <n v="1409"/>
    <s v="LOJA PORTO ALEGRE - AZENHA - RS"/>
    <s v="BRUNA PIRES AZEREDO"/>
    <x v="11"/>
    <s v="ADRIELE DA SILVA SOUZA"/>
    <s v="RS"/>
    <s v="AV. AZENHA, 581"/>
    <s v="AZENHA"/>
    <s v="PORTO ALEGRE"/>
    <s v="90160-001"/>
    <m/>
    <n v="0"/>
    <n v="7"/>
  </r>
  <r>
    <n v="1400"/>
    <s v="LOJA PORTO ALEGRE - BORGES - RS"/>
    <s v="CINTIA POSSAMAI DA SILVA"/>
    <x v="11"/>
    <s v="ADRIELE DA SILVA SOUZA"/>
    <s v="RS"/>
    <s v="AV. BORGES DE MEDEIROS, 410 "/>
    <s v="CENTRO"/>
    <s v="PORTO ALEGRE"/>
    <s v="90020-022"/>
    <m/>
    <n v="0"/>
    <n v="9"/>
  </r>
  <r>
    <n v="1401"/>
    <s v="LOJA PORTO ALEGRE - OSVALDO ARANHA I - RS"/>
    <s v="JESSICA FERREIRA ANTUNES"/>
    <x v="11"/>
    <s v="ADRIELE DA SILVA SOUZA"/>
    <s v="RS"/>
    <s v="AV OSVALDO ARANHA, 1394 "/>
    <s v="BOM FIM"/>
    <s v="PORTO ALEGRE"/>
    <s v="90035-191"/>
    <m/>
    <n v="0"/>
    <n v="4"/>
  </r>
  <r>
    <n v="10226"/>
    <s v="LOJA SALGADO FILHO - RS"/>
    <s v="FERNANDA RODRIGUES SOARES"/>
    <x v="11"/>
    <s v="ADRIELE DA SILVA SOUZA"/>
    <s v="RS"/>
    <s v="AV. SENADOR SALGADO FILHO 208"/>
    <s v="CENTRO"/>
    <s v="PORTO ALEGRE"/>
    <s v="90010-220"/>
    <m/>
    <n v="0"/>
    <n v="5"/>
  </r>
  <r>
    <n v="1444"/>
    <s v="LOJA SAO JERONIMO - RS"/>
    <s v="CAROLINE VENTURINI"/>
    <x v="11"/>
    <s v="ADRIELE DA SILVA SOUZA"/>
    <s v="RS"/>
    <s v="RUA OSVALDO ARANHA, 65"/>
    <s v="CENTRO"/>
    <s v="SAO JERONIMO"/>
    <s v="96700-000"/>
    <m/>
    <n v="0"/>
    <n v="4"/>
  </r>
  <r>
    <n v="1453"/>
    <s v="LOJA BENTO GONCALVES - RS"/>
    <s v="SARA LETICIA FREITAS RODRIGUES PIEDADE"/>
    <x v="4"/>
    <s v="ADRIELE DA SILVA SOUZA"/>
    <s v="RS"/>
    <s v="RUA GENERAL GOMES CARNEIRO, 83 - LOJA 5"/>
    <s v="CENTRO"/>
    <s v="BENTO GONCALVES"/>
    <s v="95700-172"/>
    <m/>
    <n v="0"/>
    <n v="5"/>
  </r>
  <r>
    <n v="1443"/>
    <s v="LOJA CAXIAS DO SUL - RS"/>
    <s v="BRUNA OLIVEIRA FERREIRA"/>
    <x v="4"/>
    <s v="ADRIELE DA SILVA SOUZA"/>
    <s v="RS"/>
    <s v="RUA BENTO GONÇALVES, 1967 LJ 5 EDIFÍCIO C. PRESIDE"/>
    <s v="CENTRO"/>
    <s v="CAXIAS DO SUL"/>
    <s v="95020-412"/>
    <m/>
    <n v="0"/>
    <n v="7"/>
  </r>
  <r>
    <n v="19701"/>
    <s v="LOJA LAJEADO - RS"/>
    <s v="PEDRO SEVERO DOS SANTOS"/>
    <x v="1"/>
    <s v="ADRIELE DA SILVA SOUZA"/>
    <s v="RS"/>
    <s v="RUA FRANCISCO OSCAR KARNAL - Nº 333 LOJA 103"/>
    <s v="CENTRO"/>
    <s v="LAJEADO"/>
    <s v="95900-180"/>
    <m/>
    <n v="0"/>
    <n v="4"/>
  </r>
  <r>
    <n v="1437"/>
    <s v="LOJA MONTENEGRO - RS"/>
    <s v="BETINA INES SCHAEFER"/>
    <x v="4"/>
    <s v="ADRIELE DA SILVA SOUZA"/>
    <s v="RS"/>
    <s v="AV.RAMIRO BARCELOS Nº 1545 - SL 104"/>
    <s v="CENTRO"/>
    <s v="MONTENEGRO"/>
    <s v="95780-000"/>
    <m/>
    <n v="0"/>
    <n v="5"/>
  </r>
  <r>
    <n v="1439"/>
    <s v="LOJA PORTAO - RS"/>
    <s v="PAULO RICARDO PINTO JUNIOR"/>
    <x v="4"/>
    <s v="ADRIELE DA SILVA SOUZA"/>
    <s v="RS"/>
    <s v="ROD RS 240 , 3526 - SL 05 (RODOCENTER) "/>
    <s v="CENTRO"/>
    <s v="PORTAO"/>
    <s v="93180-000"/>
    <m/>
    <n v="0"/>
    <n v="3"/>
  </r>
  <r>
    <n v="601055"/>
    <s v="LOJA PORTO ALEGRE - CRISTOVAO COLOMBO - RS"/>
    <s v="MAIHARA FONTOURA VIEIRA"/>
    <x v="11"/>
    <s v="ADRIELE DA SILVA SOUZA"/>
    <s v="RS"/>
    <s v="AV. CRISTÓVÃO COLOMBO, 1320"/>
    <s v="FLORESTA "/>
    <s v="PORTO ALEGRE"/>
    <s v="90560-002"/>
    <d v="2021-11-24T00:00:00"/>
    <d v="2021-11-24T00:00:00"/>
    <n v="5"/>
  </r>
  <r>
    <n v="601050"/>
    <s v="LOJA PORTO ALEGRE ASSIS BRASIL III - RS"/>
    <s v="GRASIELA PEREIRA SANTIAGO DIAS"/>
    <x v="3"/>
    <s v="ADRIELE DA SILVA SOUZA"/>
    <s v="RS"/>
    <s v="AV.ASSIS BRASIL, 308"/>
    <s v="SÃO JOAO"/>
    <s v="PORTO ALEGRE"/>
    <s v="91010-000"/>
    <d v="2021-12-01T00:00:00"/>
    <d v="2021-12-01T00:00:00"/>
    <n v="5"/>
  </r>
  <r>
    <n v="601057"/>
    <s v="LOJA PROTASIO ALVES - RS"/>
    <s v="EDUARDA VENTURA BOGADO"/>
    <x v="11"/>
    <s v="ADRIELE DA SILVA SOUZA"/>
    <s v="RS"/>
    <s v="AV. PROTASIO ALVES, 2492"/>
    <s v="PETROPOLIS"/>
    <s v="PORTO ALEGRE"/>
    <s v="90410-006"/>
    <d v="2022-02-25T00:00:00"/>
    <d v="2022-02-25T00:00:00"/>
    <n v="7"/>
  </r>
  <r>
    <n v="19880"/>
    <s v="LOJA SANTA CRUZ DO SUL - RS"/>
    <s v="ARIADNE DE SENNA POLTOZI"/>
    <x v="1"/>
    <s v="ADRIELE DA SILVA SOUZA"/>
    <s v="RS"/>
    <s v="Rua Tenente Coronel Brito,719"/>
    <s v="CENTRO"/>
    <s v="SANTA CRUZ DO SUL"/>
    <s v="96810-114"/>
    <m/>
    <n v="0"/>
    <n v="4"/>
  </r>
  <r>
    <n v="19705"/>
    <s v="LOJA VENANCIO AIRES - RS"/>
    <s v="DANIELE CRISTINE ROSA"/>
    <x v="1"/>
    <s v="ADRIELE DA SILVA SOUZA"/>
    <s v="RS"/>
    <s v="RUA OSVALDO ARANHA, 1268"/>
    <s v="CENTRO"/>
    <s v="VENANCIO AIRES"/>
    <s v="95800-000"/>
    <m/>
    <n v="0"/>
    <n v="3"/>
  </r>
  <r>
    <n v="1414"/>
    <s v="LOJA VIAMAO - RS"/>
    <s v="VIVIAN AZAMBUJA CARNEIRO"/>
    <x v="11"/>
    <s v="ADRIELE DA SILVA SOUZA"/>
    <s v="RS"/>
    <s v="RUA: CORONEL MARCOS DE ANDRADE, 437"/>
    <s v="CENTRO"/>
    <s v="VIAMAO"/>
    <s v="94410-050"/>
    <m/>
    <n v="0"/>
    <n v="5"/>
  </r>
  <r>
    <n v="31373"/>
    <s v="LOJA CAMPO MOURÃO - PR"/>
    <s v="MARIA LUIZA NUNES TOLOMEOTTI"/>
    <x v="12"/>
    <s v="CINARA REGINA KEMERICH"/>
    <s v="PR"/>
    <s v="AV. IRMÃOS PEREIRA Nº 1631 SALA COMERCIAL"/>
    <s v="CENTRO"/>
    <s v="CAMPO MOURAO"/>
    <s v="87301-010"/>
    <d v="2021-03-22T00:00:00"/>
    <d v="2021-03-22T00:00:00"/>
    <n v="3"/>
  </r>
  <r>
    <n v="31276"/>
    <s v="LOJA CASCAVEL - PR"/>
    <s v="LUIS ROGERIO DE OLIVEIRA"/>
    <x v="12"/>
    <s v="CINARA REGINA KEMERICH"/>
    <s v="PR"/>
    <s v="AVENIDA BRASIL 6282, SL 312"/>
    <s v="CENTRO"/>
    <s v="CASCAVEL"/>
    <s v="85812-002"/>
    <m/>
    <n v="0"/>
    <n v="5"/>
  </r>
  <r>
    <n v="31226"/>
    <s v="LOJA FOZ DO IGUAÇU - PR"/>
    <s v="PAULO ROBERTO FLORES DE SOUZA"/>
    <x v="12"/>
    <s v="CINARA REGINA KEMERICH"/>
    <s v="PR"/>
    <s v="RUA BARÃO DO RIO BRANCO, 648"/>
    <s v="CENTRO"/>
    <s v="FOZ DO IGUACU"/>
    <s v="85851-310"/>
    <m/>
    <n v="0"/>
    <n v="5"/>
  </r>
  <r>
    <n v="3817"/>
    <s v="LOJA LONDRINA - PR"/>
    <s v="PAMELA DA CONCEICAO DA SILVA"/>
    <x v="12"/>
    <s v="CINARA REGINA KEMERICH"/>
    <s v="PR"/>
    <s v="AV PARANÁ 117 A  "/>
    <s v="CENTRO "/>
    <s v="LONDRINA"/>
    <s v="86020-360"/>
    <m/>
    <n v="0"/>
    <n v="5"/>
  </r>
  <r>
    <n v="3800"/>
    <s v="LOJA MARINGA 1 - PR"/>
    <s v="GISLAINE ELIAS DOS SANTOS"/>
    <x v="12"/>
    <s v="CINARA REGINA KEMERICH"/>
    <s v="PR"/>
    <s v="RUA SANTOS DUMONT  Nº 2905  LOJA 1 "/>
    <s v="ZONA 1"/>
    <s v="MARINGA"/>
    <s v="87013-050"/>
    <m/>
    <n v="0"/>
    <n v="4"/>
  </r>
  <r>
    <n v="3827"/>
    <s v="LOJA MARINGA 2 - PR"/>
    <s v="EDEILSO COSTA MELO"/>
    <x v="12"/>
    <s v="CINARA REGINA KEMERICH"/>
    <s v="PR"/>
    <s v="AVENIDA TAMANDARÉ 655 LOJA 58"/>
    <s v="ZONA 1"/>
    <s v="MARINGA"/>
    <s v="87013-210"/>
    <m/>
    <n v="0"/>
    <n v="4"/>
  </r>
  <r>
    <n v="31353"/>
    <s v="LOJA TOLEDO - PR"/>
    <s v="Sem supervisor"/>
    <x v="12"/>
    <s v="CINARA REGINA KEMERICH"/>
    <s v="PR"/>
    <s v="sete de setembro  n 1218"/>
    <s v="CENTRO"/>
    <s v="TOLEDO"/>
    <s v="85900-220"/>
    <d v="2020-09-21T00:00:00"/>
    <d v="2020-09-21T00:00:00"/>
    <n v="5"/>
  </r>
  <r>
    <n v="200020"/>
    <s v="LOJA UMUARAMA - PR"/>
    <s v="FRANCIELY VANESSA DE SOUZA GARCIA"/>
    <x v="12"/>
    <s v="CINARA REGINA KEMERICH"/>
    <s v="PR"/>
    <s v="AVENIDA BRASIL, 4140 SALA 4"/>
    <s v="ZONA I"/>
    <s v="UMUARAMA"/>
    <s v="87501-070"/>
    <d v="2021-11-23T00:00:00"/>
    <d v="2021-11-23T00:00:00"/>
    <n v="4"/>
  </r>
  <r>
    <n v="1436"/>
    <s v="LOJA CAMAQUA - RS"/>
    <s v="ANDREY COSTA DA ROCHA"/>
    <x v="13"/>
    <s v="ADRIELE DA SILVA SOUZA"/>
    <s v="RS"/>
    <s v="AVENIDA OLAVO MORAES, 798 - LOJA A"/>
    <s v="CENTRO"/>
    <s v="CAMAQUA"/>
    <s v="96780-070"/>
    <m/>
    <n v="0"/>
    <n v="3"/>
  </r>
  <r>
    <n v="19707"/>
    <s v="LOJA CANGUÇU - RS"/>
    <s v="CLAUDIA BEATRIZ LACERDA SCHIAVON"/>
    <x v="13"/>
    <s v="ADRIELE DA SILVA SOUZA"/>
    <s v="RS"/>
    <s v="AV. 20 DE SETEMBRO 11C"/>
    <s v="CENTRO (TRIANGULO)"/>
    <s v="CANGUCU"/>
    <s v="96600-000"/>
    <m/>
    <n v="0"/>
    <n v="3"/>
  </r>
  <r>
    <n v="1478"/>
    <s v="LOJA PELOTAS - RS"/>
    <s v="NAYANE BORGES"/>
    <x v="13"/>
    <s v="ADRIELE DA SILVA SOUZA"/>
    <s v="RS"/>
    <s v="RUA SETE DE SETEMBRO, 240 "/>
    <s v="CENTRO"/>
    <s v="PELOTAS"/>
    <s v="96015-300"/>
    <m/>
    <n v="0"/>
    <n v="5"/>
  </r>
  <r>
    <n v="10200"/>
    <s v="LOJA RIO GRANDE - RS"/>
    <s v="Sem supervisor"/>
    <x v="13"/>
    <s v="ADRIELE DA SILVA SOUZA"/>
    <s v="RS"/>
    <s v="MARECHAL FLORIANO 290"/>
    <s v="CENTRO"/>
    <s v="RIO GRANDE"/>
    <s v="96200-380"/>
    <m/>
    <n v="0"/>
    <n v="3"/>
  </r>
  <r>
    <n v="1490"/>
    <s v="LOJA SAO LOURENÇO - RS"/>
    <s v="Sem supervisor"/>
    <x v="13"/>
    <s v="ADRIELE DA SILVA SOUZA"/>
    <s v="RS"/>
    <s v="Rua Pinheiro Machado nº 406"/>
    <s v="MEDIANEIRA"/>
    <s v="SAO LOURENCO DO SUL"/>
    <s v="96170-000"/>
    <m/>
    <n v="0"/>
    <n v="3"/>
  </r>
  <r>
    <n v="1422"/>
    <s v="LOJA TAPES - RS"/>
    <s v="FRANCIELI FORTE SUBTIL DA SILVA"/>
    <x v="13"/>
    <s v="ADRIELE DA SILVA SOUZA"/>
    <s v="RS"/>
    <s v="AV. ASSIS BRASIL, 371 LOJA 2"/>
    <s v="CENTRO"/>
    <s v="TAPES"/>
    <s v="96760-000"/>
    <m/>
    <n v="0"/>
    <n v="3"/>
  </r>
  <r>
    <n v="9366"/>
    <s v="LOJA CONJ CEARA - FORTALEZA - CE"/>
    <s v="PAULO LINDEMBERG GOMES DO AMARAL"/>
    <x v="14"/>
    <s v="CRISTIANE CARVALHO GEBELATTO"/>
    <s v="CE"/>
    <s v="AV. A, Nº 1115, LOJA A"/>
    <s v="CONJUNTO CEARÁ"/>
    <s v="FORTALEZA"/>
    <s v="60533-310"/>
    <d v="2021-01-18T00:00:00"/>
    <d v="2021-01-18T00:00:00"/>
    <n v="3"/>
  </r>
  <r>
    <n v="90900"/>
    <s v="LOJA FORTALEZA - CE"/>
    <s v="IRANILDA ARAUJO DE FREITAS"/>
    <x v="14"/>
    <s v="CRISTIANE CARVALHO GEBELATTO"/>
    <s v="CE"/>
    <s v="RUA FLORIANO PEIXOTO,797"/>
    <s v="CENTRO"/>
    <s v="FORTALEZA"/>
    <s v="60025-130"/>
    <m/>
    <n v="0"/>
    <n v="6"/>
  </r>
  <r>
    <n v="9370"/>
    <s v="LOJA MESSEJANA - CE"/>
    <s v="RUTH EMANUELA ALVES JORGE"/>
    <x v="14"/>
    <s v="CRISTIANE CARVALHO GEBELATTO"/>
    <s v="CE"/>
    <s v="CEL FRANCISCO PEREIRA,400, LOJA G"/>
    <s v="MESSEJANA"/>
    <s v="FORTALEZA"/>
    <s v="60840-290"/>
    <d v="2021-03-15T00:00:00"/>
    <d v="2021-03-15T00:00:00"/>
    <n v="3"/>
  </r>
  <r>
    <n v="9368"/>
    <s v="LOJA PARANGABA - CE"/>
    <s v="Sem supervisor"/>
    <x v="14"/>
    <s v="CRISTIANE CARVALHO GEBELATTO"/>
    <s v="CE"/>
    <s v="CAIO PRADO 61, LOJA 6"/>
    <s v="PARANGABA"/>
    <s v="FORTALEZA"/>
    <s v="60720-040"/>
    <d v="2021-02-03T00:00:00"/>
    <d v="2021-02-03T00:00:00"/>
    <n v="4"/>
  </r>
  <r>
    <n v="7747"/>
    <s v="LOJA CABULA - SALVADOR"/>
    <s v="RODRIGO GONZAGA CONCEICAO"/>
    <x v="15"/>
    <s v="CRISTIANE CARVALHO GEBELATTO"/>
    <s v="BA"/>
    <s v="SÃO GONÇALO, Nº 17 - LOJA 1"/>
    <s v="CABULA"/>
    <s v="SALVADOR"/>
    <s v="41185-055"/>
    <m/>
    <n v="0"/>
    <n v="3"/>
  </r>
  <r>
    <n v="7800"/>
    <s v="LOJA CAJAZEIRAS -  BA"/>
    <s v="ROSECLEIDE ALVES BARBOSA"/>
    <x v="15"/>
    <s v="CRISTIANE CARVALHO GEBELATTO"/>
    <s v="BA"/>
    <s v="ESTRADA DO COQUEIRO GRANDE, 21A"/>
    <s v="FAZENDA GRANDE II"/>
    <s v="SALVADOR"/>
    <s v="41340-050"/>
    <m/>
    <n v="0"/>
    <n v="4"/>
  </r>
  <r>
    <n v="7748"/>
    <s v="LOJA ITAPUÃ - SALVADOR"/>
    <s v="LIDIANE RUTE VELOSO DOS SANTOS"/>
    <x v="15"/>
    <s v="CRISTIANE CARVALHO GEBELATTO"/>
    <s v="BA"/>
    <s v="FERNANDO TORRES, Nº 3 LOJA 3"/>
    <s v="ITAPUÃ"/>
    <s v="SALVADOR"/>
    <s v="41635-470"/>
    <m/>
    <n v="0"/>
    <n v="5"/>
  </r>
  <r>
    <n v="94438"/>
    <s v="LOJA LAURO DE FREITAS - BA"/>
    <s v="MAINARA ALVES DOS SANTOS"/>
    <x v="15"/>
    <s v="CRISTIANE CARVALHO GEBELATTO"/>
    <s v="AM"/>
    <s v="PRAÇA MARTINIANO MAIA 181 A"/>
    <s v="CENTRO"/>
    <s v="LAURO DE FREITAS"/>
    <m/>
    <m/>
    <m/>
    <n v="3"/>
  </r>
  <r>
    <n v="7900"/>
    <s v="LOJA SALVADOR - BA"/>
    <s v="JESSICA ANDRADE DOS SANTOS"/>
    <x v="15"/>
    <s v="CRISTIANE CARVALHO GEBELATTO"/>
    <s v="BA"/>
    <s v="RUA DA BÉLGICA, 148 LOJA C "/>
    <s v="COMERCIO"/>
    <s v="SALVADOR"/>
    <s v="40010-030"/>
    <m/>
    <n v="0"/>
    <n v="7"/>
  </r>
  <r>
    <n v="71002"/>
    <s v="LOJA SALVADOR - COMERCIO"/>
    <s v="JOSE WELLINGTON DE SOUSA COSTA"/>
    <x v="15"/>
    <s v="CRISTIANE CARVALHO GEBELATTO"/>
    <s v="BA"/>
    <s v="RUA DA BÉLGICA, 148 LOJA C "/>
    <s v="COMÉRCIO"/>
    <s v="SALVADOR"/>
    <s v="40010-030"/>
    <m/>
    <n v="0"/>
    <n v="7"/>
  </r>
  <r>
    <n v="7815"/>
    <s v="LOJA SAO MARCOS - BA"/>
    <s v="ADRIANE SANTOS RIBEIRO"/>
    <x v="15"/>
    <s v="CRISTIANE CARVALHO GEBELATTO"/>
    <s v="BA"/>
    <s v="RUA SÃO MARCOS, 56"/>
    <s v="SÃO MARCOS"/>
    <s v="SALVADOR"/>
    <s v="41253-190"/>
    <m/>
    <n v="0"/>
    <n v="4"/>
  </r>
  <r>
    <n v="93826"/>
    <s v="LOJA ARACAJU - SE"/>
    <s v="VALQUIRIA SANTOS DA CRUZ"/>
    <x v="15"/>
    <s v="CRISTIANE CARVALHO GEBELATTO"/>
    <s v="SE"/>
    <s v="RUA SÃO CRISTÓVÃO, 402"/>
    <s v="CENTRO"/>
    <s v="ARACAJU "/>
    <s v="49010-380"/>
    <d v="2022-11-18T00:00:00"/>
    <m/>
    <n v="5"/>
  </r>
  <r>
    <n v="23001"/>
    <s v="LOJA MACEIO - AL"/>
    <s v="THAISA MARY COSTA DE OLIVEIRA"/>
    <x v="15"/>
    <s v="CRISTIANE CARVALHO GEBELATTO"/>
    <s v="AL"/>
    <s v="RUA BARÃO DE PENEDO , Nº 197"/>
    <s v="CENTRO"/>
    <s v="MACEIO"/>
    <s v="57020-340"/>
    <m/>
    <n v="0"/>
    <n v="4"/>
  </r>
  <r>
    <n v="81006"/>
    <s v="LOJA AFOGADOS - RECIFE"/>
    <s v="MARILIA TERCIA DA SILVA BRITO"/>
    <x v="16"/>
    <s v="CRISTIANE CARVALHO GEBELATTO"/>
    <s v="PE"/>
    <s v="DA PAZ, Nº 194"/>
    <s v="AFOGADOS"/>
    <s v="RECIFE"/>
    <s v="50770-000"/>
    <d v="2021-03-30T00:00:00"/>
    <d v="2021-03-30T00:00:00"/>
    <n v="3"/>
  </r>
  <r>
    <n v="18936"/>
    <s v="LOJA BAYEUX - PB"/>
    <s v="HERCULANO ALVES DOS SANTOS"/>
    <x v="16"/>
    <s v="CRISTIANE CARVALHO GEBELATTO"/>
    <s v="PB"/>
    <s v="AVENIDA LIBERDADE 3379"/>
    <s v="CENTRO"/>
    <s v="BAYEUX"/>
    <s v="58110-160"/>
    <d v="2021-06-14T00:00:00"/>
    <d v="2021-06-14T00:00:00"/>
    <n v="3"/>
  </r>
  <r>
    <n v="18105"/>
    <s v="LOJA CAMPINA GRANDE - PB"/>
    <s v="DANIELA MEDEIROS MONTEIRO DE OLIVEIRA"/>
    <x v="16"/>
    <s v="CRISTIANE CARVALHO GEBELATTO"/>
    <s v="PB"/>
    <s v="RUA EPITACIO PESSOA 166"/>
    <s v="CENTRO"/>
    <s v="CAMPINA GRANDE"/>
    <s v="58400-025"/>
    <m/>
    <n v="0"/>
    <n v="4"/>
  </r>
  <r>
    <n v="80969"/>
    <s v="LOJA CARUARU - PE"/>
    <s v="DANILMA MATIAS DA SILVA"/>
    <x v="16"/>
    <s v="CRISTIANE CARVALHO GEBELATTO"/>
    <s v="PE"/>
    <s v="RUA CORONEL LIMEIRA, Nº 049-C"/>
    <s v="NOSSA SENHORA DAS DORES"/>
    <s v="CARUARU"/>
    <s v="55002-350"/>
    <m/>
    <n v="0"/>
    <n v="4"/>
  </r>
  <r>
    <n v="81075"/>
    <s v="LOJA CRUZ DAS ARMAS - PB"/>
    <s v="DAYANNE COSTA CHAVES"/>
    <x v="16"/>
    <s v="CRISTIANE CARVALHO GEBELATTO"/>
    <s v="PB"/>
    <s v="AV. CRUZ DAS ARMAS, 771, SALA B"/>
    <s v="CRUZ DAS ARMAS"/>
    <s v="JOAO PESSOA"/>
    <s v="58085-000"/>
    <d v="2022-05-23T00:00:00"/>
    <d v="2022-05-23T00:00:00"/>
    <n v="4"/>
  </r>
  <r>
    <n v="18900"/>
    <s v="LOJA JOAO PESSOA - PB"/>
    <s v="RUANA VIRGINIA DA SILVA SANTOS"/>
    <x v="16"/>
    <s v="CRISTIANE CARVALHO GEBELATTO"/>
    <s v="PB"/>
    <s v="RUA TREZE DE MAIO, 391"/>
    <s v="CENTRO"/>
    <s v="JOAO PESSOA"/>
    <s v="58013-070"/>
    <m/>
    <n v="0"/>
    <n v="6"/>
  </r>
  <r>
    <n v="18937"/>
    <s v="LOJA MANGABEIRA - PB"/>
    <s v="VANDERLANDIA FERREIRA ALVES VENANCIO"/>
    <x v="16"/>
    <s v="CRISTIANE CARVALHO GEBELATTO"/>
    <s v="PB"/>
    <s v="RUA JOSEFA TAVEIRA 1547"/>
    <s v="MAGABEIRA"/>
    <s v="JOAO PESSOA"/>
    <s v="58055-000"/>
    <d v="2021-08-11T00:00:00"/>
    <d v="2021-08-11T00:00:00"/>
    <n v="4"/>
  </r>
  <r>
    <n v="14900"/>
    <s v="LOJA NATAL - RN"/>
    <s v="THAISE SILVEIRA DOS SANTOS APOLINARIO"/>
    <x v="16"/>
    <s v="CRISTIANE CARVALHO GEBELATTO"/>
    <s v="RN"/>
    <s v="AVENIDA DEODORO DA FONSECA 626"/>
    <s v="CENTRO"/>
    <s v="NATAL"/>
    <s v="59025-145"/>
    <m/>
    <n v="0"/>
    <n v="5"/>
  </r>
  <r>
    <n v="14932"/>
    <s v="LOJA NATAL - CIDADE ALTA - RN"/>
    <s v="WHANDERSON MATHEUS ARAUJO DA COSTA"/>
    <x v="16"/>
    <s v="CRISTIANE CARVALHO GEBELATTO"/>
    <s v="RN"/>
    <s v="RUA JOÃO PESSOA, Nº 219"/>
    <s v="CIDADE ALTA"/>
    <s v="NATAL"/>
    <s v="59025-500"/>
    <m/>
    <n v="0"/>
    <n v="4"/>
  </r>
  <r>
    <n v="8399"/>
    <s v="LOJA RECIFE - PE"/>
    <s v="MARCELA FERREIRA DOS PASSOS"/>
    <x v="16"/>
    <s v="CRISTIANE CARVALHO GEBELATTO"/>
    <s v="PE"/>
    <s v="RUA DUQUE DE CAXIAS 201"/>
    <s v="SANTO ANTONIO"/>
    <s v="RECIFE"/>
    <s v="50010-290"/>
    <m/>
    <n v="0"/>
    <n v="8"/>
  </r>
  <r>
    <n v="1498"/>
    <s v="CALL CENTER - DEBITO DIGITAL 1498"/>
    <s v="WILLIAM BONIATTI MENEGAT"/>
    <x v="17"/>
    <s v="FERNANDA APARECIDA TOMAZINI"/>
    <s v="RS"/>
    <s v="VIGARIO JOSE INACIO 258/260"/>
    <s v="CENTRO"/>
    <s v="PORTO ALEGRE"/>
    <s v="90020-100"/>
    <m/>
    <s v="-"/>
    <s v="-"/>
  </r>
  <r>
    <n v="1493"/>
    <s v="CALL CENTER - FGTS 1493"/>
    <s v="FLAVIA GRAZIELA MENDES BORGES"/>
    <x v="17"/>
    <s v="FERNANDA APARECIDA TOMAZINI"/>
    <s v="RS"/>
    <s v="AV. BORGES DE MEDEIROS 410/8 ANDAR"/>
    <s v="CENTRO"/>
    <s v="PORTO ALEGRE"/>
    <s v="90020-022"/>
    <m/>
    <s v="-"/>
    <s v="-"/>
  </r>
  <r>
    <n v="1491"/>
    <s v="CALL CENTER PRODUTOS E SERVIÇOS II 1491"/>
    <s v="TERESINHA DE JESUS FREITAS SOARES"/>
    <x v="17"/>
    <s v="FERNANDA APARECIDA TOMAZINI"/>
    <s v="RS"/>
    <s v="AVENIDA SENADOR SALGADO FILHO 230"/>
    <s v="CENTRO "/>
    <s v="PORTO ALEGRE"/>
    <s v="90010-220"/>
    <m/>
    <s v="-"/>
    <s v="-"/>
  </r>
  <r>
    <n v="1492"/>
    <s v="CALL CENTER PRODUTOS E SERVIÇOS III 1492"/>
    <s v="TASSIANA GARCIA MOURA"/>
    <x v="17"/>
    <s v="FERNANDA APARECIDA TOMAZINI"/>
    <s v="RS"/>
    <s v="VIGARIO JOSE INACIO 258/260"/>
    <s v="CENTRO"/>
    <s v="PORTO ALEGRE"/>
    <s v="90020-100"/>
    <m/>
    <s v="-"/>
    <s v="-"/>
  </r>
  <r>
    <n v="149400"/>
    <s v="CALL CENTER PRODUTOS E SERVIÇOS IV 149400"/>
    <s v="VANESSA DOS SANTOS PINTO"/>
    <x v="17"/>
    <s v="FERNANDA APARECIDA TOMAZINI"/>
    <s v="RS"/>
    <s v="VIGARIO JOSE INACIO 258/260"/>
    <s v="CENTRO "/>
    <s v="PORTO ALEGRE"/>
    <s v="90020-100"/>
    <m/>
    <s v="-"/>
    <s v="-"/>
  </r>
  <r>
    <n v="149800"/>
    <s v="CALL CENTER PRODUTOS E SERVIÇOS IX 149800"/>
    <s v="RAPHAEL CASCAES MARTHA"/>
    <x v="17"/>
    <s v="FERNANDA APARECIDA TOMAZINI"/>
    <s v="RS"/>
    <s v="AV. BORGES DE MEDEIROS, 410,"/>
    <s v="CENTRO"/>
    <s v="PORTO ALEGRE"/>
    <s v="90020-022"/>
    <m/>
    <s v="-"/>
    <s v="-"/>
  </r>
  <r>
    <n v="149500"/>
    <s v="CALL CENTER PRODUTOS E SERVIÇOS V 149500"/>
    <s v="Sem supervisor"/>
    <x v="17"/>
    <s v="FERNANDA APARECIDA TOMAZINI"/>
    <s v="RS"/>
    <s v="RUA VIGARIO JOSE INACIO, 258 / 260"/>
    <s v="CENTRO"/>
    <s v="PORTO ALEGRE"/>
    <m/>
    <m/>
    <s v="-"/>
    <s v="-"/>
  </r>
  <r>
    <n v="149700"/>
    <s v="CALL CENTER PRODUTOS E SERVIÇOS VI 149700"/>
    <s v="Sem supervisor"/>
    <x v="17"/>
    <s v="FERNANDA APARECIDA TOMAZINI"/>
    <s v="RS"/>
    <s v="AV. BORGES DE MEDEIROS, 410, 12º ANDAR"/>
    <s v="CENTRO"/>
    <s v="PORTO ALEGRE"/>
    <s v="90020-022"/>
    <m/>
    <s v="-"/>
    <s v="-"/>
  </r>
  <r>
    <n v="1495"/>
    <s v="CALL CENTER PRODUTOS E SERVIÇOS VII 1495"/>
    <s v="Sem supervisor"/>
    <x v="17"/>
    <s v="FERNANDA APARECIDA TOMAZINI"/>
    <s v="RS"/>
    <s v="RUA BORGES DE MEDEIROS 410"/>
    <s v="CENTRO"/>
    <s v="PORTO ALEGRE"/>
    <s v="90020-023"/>
    <m/>
    <s v="-"/>
    <s v="-"/>
  </r>
  <r>
    <n v="149600"/>
    <s v="CALL CENTER PRODUTOS E SERVIÇOS VIII 149600"/>
    <s v="Sem supervisor"/>
    <x v="17"/>
    <s v="FERNANDA APARECIDA TOMAZINI"/>
    <s v="RS"/>
    <s v="AV. BORGES DE MEDEIROS, 410, 12º ANDAR"/>
    <s v="CENTRO"/>
    <s v="PORTO ALEGRE"/>
    <s v="90020-022"/>
    <m/>
    <s v="-"/>
    <s v="-"/>
  </r>
  <r>
    <n v="1499"/>
    <s v="CALL CENTER SIAPE - RS 1499"/>
    <s v="ALISSON MONEGO PEREIRA"/>
    <x v="17"/>
    <s v="FERNANDA APARECIDA TOMAZINI"/>
    <s v="RS"/>
    <s v="AV. BORGES DE MEDEIROS 410/8 ANDAR"/>
    <s v="CENTRO"/>
    <s v="PORTO ALEGRE"/>
    <s v="90020-022"/>
    <m/>
    <s v="-"/>
    <s v="-"/>
  </r>
  <r>
    <n v="15002"/>
    <s v="LOJA GOIANIA - GO"/>
    <s v="ADRIELE FERNANDA VIEIRA DA SILVA"/>
    <x v="18"/>
    <s v="MAYARA NOVAIS LOPES"/>
    <s v="GO"/>
    <s v="RUA 02, 230 LJ 2 - EDIF CARLOS CHAGAS LOJA 2"/>
    <s v="SETOR CENTRAL"/>
    <s v="GOIANIA"/>
    <s v="74013-020"/>
    <m/>
    <n v="0"/>
    <n v="8"/>
  </r>
  <r>
    <n v="17207"/>
    <s v="LOJA SETOR CAMPINAS - GO "/>
    <s v="GEOVANNA ALVES DE PAULA VAZ"/>
    <x v="18"/>
    <s v="MAYARA NOVAIS LOPES"/>
    <s v="GO"/>
    <s v="AV. 24 DE OUTUBRO, N.779 QD.43 LT.04 SL.01"/>
    <s v="SETOR CAMPINAS "/>
    <s v="GOIANIA"/>
    <s v="74505-011"/>
    <m/>
    <n v="0"/>
    <n v="4"/>
  </r>
  <r>
    <n v="15361"/>
    <s v="LOJA SETOR GARAVELO - GO"/>
    <s v="POLIANA MORAIS SILVA"/>
    <x v="18"/>
    <s v="MAYARA NOVAIS LOPES"/>
    <s v="GO"/>
    <s v="AVENIDA DA IGUALDADE QD 095, LT 03"/>
    <s v="SETOR GARAVELO"/>
    <s v="APARECIDA DE GOIANIA"/>
    <s v="74930-530"/>
    <m/>
    <n v="0"/>
    <n v="4"/>
  </r>
  <r>
    <n v="13976"/>
    <s v="LOJA ANJO DA GUARDA - MA"/>
    <s v="MEYRILANE SOUSA BARROS"/>
    <x v="19"/>
    <s v="MAYARA NOVAIS LOPES"/>
    <s v="MA"/>
    <s v="AVENIDA MOÇAMBIQUE, 05"/>
    <s v="ANJO DA GUARDA"/>
    <s v="SÃO LUIS"/>
    <m/>
    <m/>
    <m/>
    <n v="3"/>
  </r>
  <r>
    <n v="12257"/>
    <s v="LOJA JOAO PAULO - MA"/>
    <s v="LAYANE JAYRA DA SILVA CARVALHO"/>
    <x v="19"/>
    <s v="MAYARA NOVAIS LOPES"/>
    <s v="MA"/>
    <s v="AV. JOAO PESSOA 182"/>
    <s v="JOAO PAULO"/>
    <s v="SAO LUIS"/>
    <s v="64040-000"/>
    <d v="2021-10-18T00:00:00"/>
    <d v="2021-10-18T00:00:00"/>
    <n v="3"/>
  </r>
  <r>
    <n v="31381"/>
    <s v="LOJA PAÇO DO LUMIAR - MA"/>
    <s v="BIANCA NIUANE DIAS MESQUITA"/>
    <x v="19"/>
    <s v="MAYARA NOVAIS LOPES"/>
    <s v="MA"/>
    <s v="RODOVIA MA-201 (ESTRADA DE RIBAMAR) KM 7, Nº 7114"/>
    <s v="BAIRRO TIJUPÁ QUEIMADO"/>
    <s v="PAÇO DO LUMIAR"/>
    <n v="0"/>
    <d v="2021-04-12T00:00:00"/>
    <d v="2021-04-12T00:00:00"/>
    <n v="3"/>
  </r>
  <r>
    <n v="31388"/>
    <s v="LOJA SAO JOSE DE RIBAMAR - MA"/>
    <s v="STEPHANIE FURTADO DE CARVALHO"/>
    <x v="19"/>
    <s v="MAYARA NOVAIS LOPES"/>
    <s v="MA"/>
    <s v="AV. GONÇALVES DIAS 711, SALA 02"/>
    <s v="CENTRO"/>
    <s v="SAO JOSE DE RIBAMAR"/>
    <s v="65110-000"/>
    <d v="2021-05-03T00:00:00"/>
    <d v="2021-05-03T00:00:00"/>
    <n v="4"/>
  </r>
  <r>
    <n v="13900"/>
    <s v="LOJA SAO LUIS - MA"/>
    <s v="DARILENE SILVA BARROSO"/>
    <x v="19"/>
    <s v="MAYARA NOVAIS LOPES"/>
    <s v="MA"/>
    <s v="RUA DO SOL , 585"/>
    <s v="CENTRO"/>
    <s v="SAO LUIS"/>
    <s v="65020-590"/>
    <m/>
    <n v="0"/>
    <n v="5"/>
  </r>
  <r>
    <n v="20085"/>
    <s v="LOJA TERESINA II - PI"/>
    <s v="MARCIELE DA SILVA VIEIRA"/>
    <x v="19"/>
    <s v="MAYARA NOVAIS LOPES"/>
    <s v="PI"/>
    <s v="BARROSO, Nº 151"/>
    <s v="CENTRO"/>
    <s v="TERESINA"/>
    <s v="64000-130"/>
    <d v="2020-11-26T00:00:00"/>
    <d v="2020-11-26T00:00:00"/>
    <n v="7"/>
  </r>
  <r>
    <n v="31382"/>
    <s v="LOJA TIRIRICAL - MA"/>
    <s v="NAYRA BASTOS DA SILVA"/>
    <x v="19"/>
    <s v="MAYARA NOVAIS LOPES"/>
    <s v="MA"/>
    <s v="AV. GUARAJARAS, Nº 30, Shopping Marajo LJ 07"/>
    <s v="TIRIRICAL"/>
    <s v="SAO LUIS"/>
    <s v="65055-285"/>
    <d v="2021-04-05T00:00:00"/>
    <d v="2021-04-05T00:00:00"/>
    <n v="5"/>
  </r>
  <r>
    <n v="12200"/>
    <s v="LOJA CAMPO GRANDE - MS"/>
    <s v="SUELEN TAVARES DE ARAUJO"/>
    <x v="18"/>
    <s v="MAYARA NOVAIS LOPES"/>
    <s v="MS"/>
    <s v="RUA TREZE DE MAIO, 2892"/>
    <s v="CENTRO"/>
    <s v="CAMPO GRANDE"/>
    <s v="79002-356"/>
    <m/>
    <n v="0"/>
    <n v="6"/>
  </r>
  <r>
    <n v="19201"/>
    <s v="LOJA CUIABA - MT"/>
    <s v="STELLA CORDEIRO ALVES"/>
    <x v="18"/>
    <s v="MAYARA NOVAIS LOPES"/>
    <s v="MT"/>
    <s v="RUA BARÃO DE MELGAÇO 3525, SL 3"/>
    <s v="CENTRO-NORTE "/>
    <s v="CUIABA"/>
    <s v="78005-300"/>
    <m/>
    <n v="0"/>
    <n v="4"/>
  </r>
  <r>
    <n v="24009"/>
    <s v="LOJA PALMAS - TO"/>
    <s v="MARCELO HENRIQUE SILVA LOPES"/>
    <x v="18"/>
    <s v="MAYARA NOVAIS LOPES"/>
    <s v="TO"/>
    <s v="QUADRA 104 SUL, RUA SE 01, N° 5, SALA 1,"/>
    <s v="PLANO DIRETOR SUL "/>
    <s v="PALMAS"/>
    <s v="77020-014"/>
    <m/>
    <n v="0"/>
    <n v="3"/>
  </r>
  <r>
    <n v="40325"/>
    <s v="LOJA  JUIZ DE FORA - MG"/>
    <s v="BIANCA GOMES MARCIANO SILVA"/>
    <x v="20"/>
    <s v="MAYARA NOVAIS LOPES"/>
    <s v="MG"/>
    <s v="RUA BARÃO DE SÃO JOÃO NEPOMUCENO, 66"/>
    <s v="CENTRO"/>
    <s v="JUIZ DE FORA"/>
    <s v="36014-008"/>
    <d v="2022-01-17T00:00:00"/>
    <d v="2022-01-17T00:00:00"/>
    <n v="5"/>
  </r>
  <r>
    <n v="4900"/>
    <s v="LOJA BELO HORIZONTE - MG"/>
    <s v="KELLY TATIANY DE MELO"/>
    <x v="20"/>
    <s v="MAYARA NOVAIS LOPES"/>
    <s v="MG"/>
    <s v="AV. AFONSO PENA 925 "/>
    <s v="CENTRO "/>
    <s v="BELO HORIZONTE"/>
    <s v="30130-002"/>
    <m/>
    <n v="0"/>
    <n v="7"/>
  </r>
  <r>
    <n v="400013"/>
    <s v="LOJA CATAGUASES - MG"/>
    <s v="CARLOS VINICIUS TEIXEIRA DE SOUZA"/>
    <x v="20"/>
    <s v="MAYARA NOVAIS LOPES"/>
    <s v="MG"/>
    <s v="RUA NOGUEIRA NEVES 22"/>
    <s v="CENTRO"/>
    <s v="CATAGUASES"/>
    <s v="36770-070"/>
    <d v="2022-02-01T00:00:00"/>
    <d v="2022-02-01T00:00:00"/>
    <n v="3"/>
  </r>
  <r>
    <n v="40324"/>
    <s v="LOJA CONSELHEIRO LAFAIETE-MG"/>
    <s v="VALDA CONCEICAO DE OLIVEIRA"/>
    <x v="20"/>
    <s v="MAYARA NOVAIS LOPES"/>
    <s v="MG"/>
    <s v="RUA AFONSO PENA, 86 "/>
    <s v="CONSELHEIRO LAFAIETE"/>
    <s v="BELO HORIZONTE"/>
    <s v="36400-062"/>
    <d v="2022-01-17T00:00:00"/>
    <d v="2022-01-17T00:00:00"/>
    <n v="3"/>
  </r>
  <r>
    <n v="45034"/>
    <s v="LOJA CONTAGEM - MG"/>
    <s v="CARLOS VINICIUS TEIXEIRA FRANCA"/>
    <x v="20"/>
    <s v="MAYARA NOVAIS LOPES"/>
    <s v="MG"/>
    <s v="AV. LONDRES, 47 LOJA 1"/>
    <s v="ELDORADO"/>
    <s v="CONTAGEM"/>
    <s v="32340-570"/>
    <m/>
    <n v="0"/>
    <n v="4"/>
  </r>
  <r>
    <n v="400012"/>
    <s v="LOJA MURIAE - MG"/>
    <s v="SABRINA DA SILVA SOUZA"/>
    <x v="20"/>
    <s v="MAYARA NOVAIS LOPES"/>
    <s v="MG"/>
    <s v="RUA PASCOAL BERNARDINO, 231, LOJA C "/>
    <s v="CENTRO"/>
    <s v="MURIAE"/>
    <s v="36880-049"/>
    <d v="2022-03-14T00:00:00"/>
    <d v="2022-03-14T00:00:00"/>
    <n v="3"/>
  </r>
  <r>
    <n v="45018"/>
    <s v="LOJA SANTA LUZIA - MG"/>
    <s v="JUCILEA LIDIA JANUÁRIO"/>
    <x v="20"/>
    <s v="MAYARA NOVAIS LOPES"/>
    <s v="MG"/>
    <s v="AV. BRASILIA,  Nº 1838 LOJA 5"/>
    <s v="SÃO BENEDITO"/>
    <s v="SANTA LUZIA"/>
    <s v="33105-516"/>
    <m/>
    <n v="0"/>
    <n v="4"/>
  </r>
  <r>
    <n v="400010"/>
    <s v="LOJA SANTOS DUMONT - MG"/>
    <s v="JESSICA FERREIRA FIGUEIREDO"/>
    <x v="20"/>
    <s v="MAYARA NOVAIS LOPES"/>
    <s v="MG"/>
    <s v="PRAÇA CESARIO ALVIM, 17"/>
    <s v="CENTRO"/>
    <s v="SANTOS DUMONT"/>
    <s v="36240-000"/>
    <d v="2022-01-17T00:00:00"/>
    <d v="2022-01-17T00:00:00"/>
    <n v="3"/>
  </r>
  <r>
    <n v="92760"/>
    <s v="LOJA UBA - MG"/>
    <s v="LUCIANA VIEIRA PERON RODRIGUES"/>
    <x v="20"/>
    <s v="MAYARA NOVAIS LOPES"/>
    <s v="MG"/>
    <s v="RUA CRISTIANO ROÇAS, 204 , LOJA 01"/>
    <s v="CENTRO"/>
    <s v="UBA"/>
    <s v="36500-000"/>
    <d v="2022-01-17T00:00:00"/>
    <d v="2022-01-17T00:00:00"/>
    <n v="3"/>
  </r>
  <r>
    <n v="400011"/>
    <s v="LOJA VIÇOSA - MG"/>
    <s v="JEAN CARLOS PEREIRA ASSIS"/>
    <x v="20"/>
    <s v="MAYARA NOVAIS LOPES"/>
    <s v="MG"/>
    <s v="RUA DOUTOR MILTON BANDEIRA, 111, LOJA 06"/>
    <s v="CENTRO"/>
    <s v="VICOSA"/>
    <s v="36570-172"/>
    <d v="2022-02-28T00:00:00"/>
    <d v="2022-02-28T00:00:00"/>
    <n v="3"/>
  </r>
  <r>
    <n v="96330"/>
    <s v="LOJA MANAUS - ALVORADA - AM"/>
    <s v=""/>
    <x v="21"/>
    <s v="MAYARA NOVAIS LOPES"/>
    <s v="AM"/>
    <s v="AV. DESEMBARGADOR JOÃO MACHADO. Nº 340, LOJA B"/>
    <s v="ALVORADA"/>
    <s v="MANAUS"/>
    <m/>
    <m/>
    <m/>
    <n v="4"/>
  </r>
  <r>
    <n v="96329"/>
    <s v="LOJA MANAUS - CHAPADA - AM"/>
    <s v=""/>
    <x v="21"/>
    <s v="MAYARA NOVAIS LOPES"/>
    <s v="AM"/>
    <s v="AV. DJALMA BATISTA, Nº 327"/>
    <s v="CHAPADA"/>
    <s v="MANAUS"/>
    <m/>
    <m/>
    <m/>
    <n v="4"/>
  </r>
  <r>
    <n v="96331"/>
    <s v="LOJA MANAUS - CIDADE NOVA - AM"/>
    <s v=""/>
    <x v="21"/>
    <s v="MAYARA NOVAIS LOPES"/>
    <s v="AM"/>
    <s v="RUA PROFESSOR FELIX VALOIS 63"/>
    <s v="CIDADE NOVA"/>
    <s v="MANAUS"/>
    <m/>
    <m/>
    <m/>
    <n v="4"/>
  </r>
  <r>
    <n v="96714"/>
    <s v="LOJA MANAUS - COMPENSA - AM"/>
    <s v=""/>
    <x v="21"/>
    <s v="MAYARA NOVAIS LOPES"/>
    <s v="AM"/>
    <s v="AV. BRASIL 45, LOJA D"/>
    <s v="COMPENSA"/>
    <s v="MANAUS"/>
    <m/>
    <m/>
    <m/>
    <n v="4"/>
  </r>
  <r>
    <n v="96328"/>
    <s v="LOJA MANAUS - EDUCANDOS - AM"/>
    <s v=""/>
    <x v="21"/>
    <s v="MAYARA NOVAIS LOPES"/>
    <s v="AM"/>
    <s v="RUA LEOPOLDO PERES, 673"/>
    <s v="EDUCANDOS"/>
    <s v="MANAUS"/>
    <m/>
    <m/>
    <m/>
    <n v="4"/>
  </r>
  <r>
    <n v="96713"/>
    <s v="LOJA MANAUS - SAO JOSE OPERARIO - AM "/>
    <s v=""/>
    <x v="21"/>
    <s v="MAYARA NOVAIS LOPES"/>
    <s v="AM"/>
    <s v="AV. AUTAZ MIRIM, 5679"/>
    <s v="SÃO JOSÉ"/>
    <s v="MANAUS"/>
    <m/>
    <m/>
    <m/>
    <n v="5"/>
  </r>
  <r>
    <n v="180007"/>
    <s v="LOJA ANANINDEUA - PA"/>
    <s v="ANTONIO STELYO DE ARAUJO BARBOSA"/>
    <x v="22"/>
    <s v="MAYARA NOVAIS LOPES"/>
    <s v="PA"/>
    <s v="CONJUNTO CIDADE NOVA VII WE-64, 712, A"/>
    <s v="COQUEIRO"/>
    <s v="ANANINDEUA"/>
    <s v="67140-652"/>
    <d v="2022-04-27T00:00:00"/>
    <d v="2022-04-27T00:00:00"/>
    <n v="5"/>
  </r>
  <r>
    <n v="17500"/>
    <s v="LOJA BELEM - PA"/>
    <s v="SUELLEM DOS SANTOS SANTANA LIMA"/>
    <x v="22"/>
    <s v="MAYARA NOVAIS LOPES"/>
    <s v="PA"/>
    <s v="AV. PRESIDENTE VARGAS, 351, LOJA 345"/>
    <s v="BAIRRO CAMPINAS"/>
    <s v="BELEM"/>
    <s v="66010-095"/>
    <m/>
    <n v="0"/>
    <n v="7"/>
  </r>
  <r>
    <n v="600098"/>
    <s v="LOJA BRAGANÇA - PA"/>
    <s v="JAILTON ALVES DA SILVA"/>
    <x v="22"/>
    <s v="MAYARA NOVAIS LOPES"/>
    <s v="PA"/>
    <s v="TRAVESSA VIGÁRIO MOTA Nº 10"/>
    <s v="CENTRO"/>
    <s v="BRAGANÇA "/>
    <s v="68600-000"/>
    <d v="2023-04-24T00:00:00"/>
    <d v="2023-04-24T00:00:00"/>
    <n v="4"/>
  </r>
  <r>
    <n v="17514"/>
    <s v="LOJA ICOARACI - PA"/>
    <s v="ELIZANGELA SORAIA DOS SANTOS SILVA"/>
    <x v="22"/>
    <s v="MAYARA NOVAIS LOPES"/>
    <s v="PA"/>
    <s v="AV. DR. LOPO DE CASTRO, 293 A"/>
    <s v="ICOARACI"/>
    <s v="BELEM"/>
    <s v="66810-000"/>
    <d v="2021-05-03T00:00:00"/>
    <d v="2021-05-03T00:00:00"/>
    <n v="4"/>
  </r>
  <r>
    <n v="22001"/>
    <s v="LOJA MACAPA - AP"/>
    <s v="ELISANDREA CARVALHO VIDAL"/>
    <x v="22"/>
    <s v="MAYARA NOVAIS LOPES"/>
    <s v="AP"/>
    <s v="AV. CORIOLANO JUCA, 157 A"/>
    <s v="CENTRAL"/>
    <s v="MACAPA"/>
    <s v="68900-101"/>
    <m/>
    <n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1000000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gridDropZones="1" multipleFieldFilters="0" rowHeaderCaption="Regionais/Coordenadores">
  <location ref="I2:O8" firstHeaderRow="2" firstDataRow="2" firstDataCol="1"/>
  <pivotFields count="13">
    <pivotField compact="0" outline="0" showAll="0"/>
    <pivotField compact="0" outline="0" showAll="0"/>
    <pivotField compact="0" outline="0" showAll="0"/>
    <pivotField axis="axisRow" compact="0" outline="0" showAll="0" defaultSubtotal="0">
      <items count="35">
        <item x="0"/>
        <item m="1" x="28"/>
        <item m="1" x="29"/>
        <item x="1"/>
        <item m="1" x="30"/>
        <item m="1" x="31"/>
        <item x="10"/>
        <item m="1" x="25"/>
        <item m="1" x="27"/>
        <item m="1" x="24"/>
        <item h="1" sd="0" m="1" x="23"/>
        <item m="1" x="33"/>
        <item m="1" x="32"/>
        <item m="1" x="26"/>
        <item x="13"/>
        <item m="1" x="34"/>
        <item h="1" x="2"/>
        <item h="1" x="3"/>
        <item h="1" x="4"/>
        <item h="1" x="5"/>
        <item h="1" x="6"/>
        <item h="1" x="7"/>
        <item h="1" x="8"/>
        <item h="1" x="9"/>
        <item h="1" x="11"/>
        <item h="1" x="12"/>
        <item h="1" x="14"/>
        <item h="1" x="15"/>
        <item h="1" x="16"/>
        <item h="1" x="17"/>
        <item h="1" x="18"/>
        <item h="1" x="19"/>
        <item h="1" x="20"/>
        <item h="1" x="21"/>
        <item h="1" x="22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3"/>
    </i>
    <i>
      <x v="6"/>
    </i>
    <i>
      <x v="14"/>
    </i>
    <i t="grand">
      <x/>
    </i>
  </rowItems>
  <colItems count="1">
    <i/>
  </colItems>
  <formats count="8">
    <format dxfId="55">
      <pivotArea dataOnly="0" labelOnly="1" outline="0" axis="axisValues" fieldPosition="0"/>
    </format>
    <format dxfId="54">
      <pivotArea dataOnly="0" labelOnly="1" outline="0" axis="axisValues" fieldPosition="0"/>
    </format>
    <format dxfId="53">
      <pivotArea dataOnly="0" labelOnly="1" outline="0" axis="axisValues" fieldPosition="0"/>
    </format>
    <format dxfId="52">
      <pivotArea dataOnly="0" labelOnly="1" outline="0" axis="axisValues" fieldPosition="0"/>
    </format>
    <format dxfId="51">
      <pivotArea grandRow="1" outline="0" collapsedLevelsAreSubtotals="1" fieldPosition="0"/>
    </format>
    <format dxfId="50">
      <pivotArea dataOnly="0" labelOnly="1" grandRow="1" outline="0" fieldPosition="0"/>
    </format>
    <format dxfId="49">
      <pivotArea grandRow="1" outline="0" collapsedLevelsAreSubtotals="1" fieldPosition="0"/>
    </format>
    <format dxfId="4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Regionais/Coordenadores">
  <location ref="D2:D26" firstHeaderRow="1" firstDataRow="1" firstDataCol="1"/>
  <pivotFields count="13">
    <pivotField showAll="0"/>
    <pivotField showAll="0"/>
    <pivotField showAll="0"/>
    <pivotField axis="axisRow" showAll="0">
      <items count="36">
        <item sd="0" x="0"/>
        <item sd="0" m="1" x="28"/>
        <item sd="0" m="1" x="29"/>
        <item sd="0" x="1"/>
        <item sd="0" m="1" x="30"/>
        <item sd="0" m="1" x="31"/>
        <item sd="0" x="10"/>
        <item sd="0" m="1" x="25"/>
        <item sd="0" m="1" x="27"/>
        <item sd="0" m="1" x="24"/>
        <item sd="0" m="1" x="23"/>
        <item sd="0" m="1" x="33"/>
        <item sd="0" m="1" x="32"/>
        <item sd="0" m="1" x="26"/>
        <item sd="0" x="13"/>
        <item sd="0" m="1" x="34"/>
        <item x="2"/>
        <item x="3"/>
        <item x="4"/>
        <item x="5"/>
        <item x="6"/>
        <item x="7"/>
        <item x="8"/>
        <item x="9"/>
        <item x="11"/>
        <item x="12"/>
        <item x="14"/>
        <item x="15"/>
        <item x="16"/>
        <item x="17"/>
        <item x="18"/>
        <item x="19"/>
        <item x="20"/>
        <item x="21"/>
        <item x="22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4">
    <i>
      <x/>
    </i>
    <i>
      <x v="3"/>
    </i>
    <i>
      <x v="6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formats count="8">
    <format dxfId="63">
      <pivotArea dataOnly="0" labelOnly="1" outline="0" axis="axisValues" fieldPosition="0"/>
    </format>
    <format dxfId="62">
      <pivotArea dataOnly="0" labelOnly="1" outline="0" axis="axisValues" fieldPosition="0"/>
    </format>
    <format dxfId="61">
      <pivotArea dataOnly="0" labelOnly="1" outline="0" axis="axisValues" fieldPosition="0"/>
    </format>
    <format dxfId="60">
      <pivotArea dataOnly="0" labelOnly="1" outline="0" axis="axisValues" fieldPosition="0"/>
    </format>
    <format dxfId="59">
      <pivotArea grandRow="1" outline="0" collapsedLevelsAreSubtotals="1" fieldPosition="0"/>
    </format>
    <format dxfId="58">
      <pivotArea dataOnly="0" labelOnly="1" grandRow="1" outline="0" fieldPosition="0"/>
    </format>
    <format dxfId="57">
      <pivotArea grandRow="1" outline="0" collapsedLevelsAreSubtotals="1" fieldPosition="0"/>
    </format>
    <format dxfId="5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2000000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Regionais">
  <location ref="A2:A26" firstHeaderRow="1" firstDataRow="1" firstDataCol="1"/>
  <pivotFields count="13">
    <pivotField showAll="0"/>
    <pivotField showAll="0"/>
    <pivotField showAll="0"/>
    <pivotField axis="axisRow" showAll="0">
      <items count="36">
        <item sd="0" x="0"/>
        <item sd="0" m="1" x="28"/>
        <item sd="0" m="1" x="29"/>
        <item sd="0" x="1"/>
        <item sd="0" m="1" x="30"/>
        <item sd="0" m="1" x="31"/>
        <item sd="0" x="10"/>
        <item sd="0" m="1" x="25"/>
        <item sd="0" m="1" x="27"/>
        <item sd="0" m="1" x="24"/>
        <item sd="0" m="1" x="23"/>
        <item sd="0" m="1" x="33"/>
        <item sd="0" m="1" x="32"/>
        <item sd="0" m="1" x="26"/>
        <item sd="0" x="13"/>
        <item sd="0" m="1" x="34"/>
        <item x="2"/>
        <item x="3"/>
        <item x="4"/>
        <item x="5"/>
        <item x="6"/>
        <item x="7"/>
        <item x="8"/>
        <item x="9"/>
        <item x="11"/>
        <item x="12"/>
        <item x="14"/>
        <item x="15"/>
        <item x="16"/>
        <item x="17"/>
        <item x="18"/>
        <item x="19"/>
        <item x="20"/>
        <item x="21"/>
        <item x="22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4">
    <i>
      <x/>
    </i>
    <i>
      <x v="3"/>
    </i>
    <i>
      <x v="6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formats count="8">
    <format dxfId="71">
      <pivotArea dataOnly="0" labelOnly="1" outline="0" axis="axisValues" fieldPosition="0"/>
    </format>
    <format dxfId="70">
      <pivotArea dataOnly="0" labelOnly="1" outline="0" axis="axisValues" fieldPosition="0"/>
    </format>
    <format dxfId="69">
      <pivotArea dataOnly="0" labelOnly="1" outline="0" axis="axisValues" fieldPosition="0"/>
    </format>
    <format dxfId="68">
      <pivotArea dataOnly="0" labelOnly="1" outline="0" axis="axisValues" fieldPosition="0"/>
    </format>
    <format dxfId="67">
      <pivotArea grandRow="1" outline="0" collapsedLevelsAreSubtotals="1" fieldPosition="0"/>
    </format>
    <format dxfId="66">
      <pivotArea dataOnly="0" labelOnly="1" grandRow="1" outline="0" fieldPosition="0"/>
    </format>
    <format dxfId="65">
      <pivotArea grandRow="1" outline="0" collapsedLevelsAreSubtotals="1" fieldPosition="0"/>
    </format>
    <format dxfId="6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3000000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A27" firstHeaderRow="1" firstDataRow="1" firstDataCol="1"/>
  <pivotFields count="11">
    <pivotField showAll="0"/>
    <pivotField showAll="0"/>
    <pivotField showAll="0"/>
    <pivotField axis="axisRow" showAll="0">
      <items count="39">
        <item x="0"/>
        <item m="1" x="28"/>
        <item m="1" x="34"/>
        <item m="1" x="29"/>
        <item x="1"/>
        <item m="1" x="31"/>
        <item m="1" x="37"/>
        <item m="1" x="32"/>
        <item x="10"/>
        <item x="3"/>
        <item m="1" x="30"/>
        <item m="1" x="25"/>
        <item m="1" x="27"/>
        <item m="1" x="24"/>
        <item m="1" x="23"/>
        <item m="1" x="35"/>
        <item m="1" x="33"/>
        <item m="1" x="36"/>
        <item m="1" x="26"/>
        <item x="13"/>
        <item x="2"/>
        <item x="4"/>
        <item x="5"/>
        <item x="6"/>
        <item x="7"/>
        <item x="8"/>
        <item x="9"/>
        <item x="11"/>
        <item x="12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4">
    <i>
      <x/>
    </i>
    <i>
      <x v="4"/>
    </i>
    <i>
      <x v="8"/>
    </i>
    <i>
      <x v="9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4000000}" name="Tabela dinâ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F4:G6" firstHeaderRow="1" firstDataRow="1" firstDataCol="1" rowPageCount="2" colPageCount="1"/>
  <pivotFields count="19">
    <pivotField showAll="0"/>
    <pivotField dataField="1" showAll="0"/>
    <pivotField showAll="0"/>
    <pivotField axis="axisPage" multipleItemSelectionAllowed="1" showAll="0">
      <items count="36">
        <item x="17"/>
        <item h="1" x="5"/>
        <item h="1" x="0"/>
        <item h="1" m="1" x="26"/>
        <item h="1" x="14"/>
        <item h="1" m="1" x="27"/>
        <item h="1" x="1"/>
        <item h="1" x="23"/>
        <item h="1" m="1" x="28"/>
        <item h="1" x="10"/>
        <item h="1" x="3"/>
        <item h="1" x="6"/>
        <item h="1" m="1" x="31"/>
        <item h="1" x="11"/>
        <item h="1" m="1" x="29"/>
        <item h="1" x="24"/>
        <item h="1" x="15"/>
        <item h="1" x="25"/>
        <item h="1" m="1" x="30"/>
        <item h="1" m="1" x="32"/>
        <item h="1" x="20"/>
        <item h="1" m="1" x="34"/>
        <item h="1" x="13"/>
        <item h="1" x="4"/>
        <item h="1" x="12"/>
        <item h="1" x="16"/>
        <item h="1" x="19"/>
        <item h="1" m="1" x="33"/>
        <item h="1" x="2"/>
        <item h="1" x="7"/>
        <item h="1" x="8"/>
        <item h="1" x="9"/>
        <item h="1" x="18"/>
        <item h="1" x="21"/>
        <item h="1" x="22"/>
        <item t="default"/>
      </items>
    </pivotField>
    <pivotField showAll="0"/>
    <pivotField axis="axisRow" showAll="0">
      <items count="24">
        <item x="8"/>
        <item x="20"/>
        <item x="5"/>
        <item x="4"/>
        <item x="21"/>
        <item x="12"/>
        <item x="13"/>
        <item x="18"/>
        <item x="15"/>
        <item x="16"/>
        <item x="19"/>
        <item x="10"/>
        <item x="9"/>
        <item x="14"/>
        <item x="3"/>
        <item x="22"/>
        <item x="11"/>
        <item x="1"/>
        <item x="0"/>
        <item x="7"/>
        <item x="2"/>
        <item x="1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m="1" x="1"/>
        <item x="0"/>
        <item t="default"/>
      </items>
    </pivotField>
  </pivotFields>
  <rowFields count="1">
    <field x="5"/>
  </rowFields>
  <rowItems count="2">
    <i>
      <x v="17"/>
    </i>
    <i t="grand">
      <x/>
    </i>
  </rowItems>
  <colItems count="1">
    <i/>
  </colItems>
  <pageFields count="2">
    <pageField fld="18" item="1" hier="-1"/>
    <pageField fld="3" hier="-1"/>
  </pageFields>
  <dataFields count="1">
    <dataField name="Contagem de LOJ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5000000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UF">
  <location ref="A4:B28" firstHeaderRow="1" firstDataRow="1" firstDataCol="1" rowPageCount="2" colPageCount="1"/>
  <pivotFields count="19">
    <pivotField showAll="0"/>
    <pivotField dataField="1" showAll="0"/>
    <pivotField showAll="0"/>
    <pivotField axis="axisPage" multipleItemSelectionAllowed="1" showAll="0">
      <items count="36">
        <item h="1" x="17"/>
        <item x="5"/>
        <item x="0"/>
        <item m="1" x="27"/>
        <item x="14"/>
        <item m="1" x="28"/>
        <item x="1"/>
        <item x="23"/>
        <item m="1" x="29"/>
        <item x="10"/>
        <item x="3"/>
        <item x="6"/>
        <item x="11"/>
        <item m="1" x="30"/>
        <item x="24"/>
        <item x="15"/>
        <item x="25"/>
        <item m="1" x="31"/>
        <item m="1" x="33"/>
        <item x="20"/>
        <item x="13"/>
        <item x="4"/>
        <item x="12"/>
        <item x="16"/>
        <item x="19"/>
        <item x="2"/>
        <item x="9"/>
        <item x="18"/>
        <item m="1" x="32"/>
        <item m="1" x="34"/>
        <item x="26"/>
        <item x="7"/>
        <item x="8"/>
        <item x="21"/>
        <item x="22"/>
        <item t="default"/>
      </items>
    </pivotField>
    <pivotField showAll="0"/>
    <pivotField axis="axisRow" showAll="0">
      <items count="24">
        <item x="8"/>
        <item x="20"/>
        <item x="5"/>
        <item x="4"/>
        <item x="21"/>
        <item x="12"/>
        <item x="13"/>
        <item x="18"/>
        <item x="15"/>
        <item x="16"/>
        <item x="19"/>
        <item x="10"/>
        <item x="9"/>
        <item x="14"/>
        <item x="3"/>
        <item x="22"/>
        <item x="11"/>
        <item x="1"/>
        <item x="0"/>
        <item x="7"/>
        <item x="2"/>
        <item x="1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m="1" x="1"/>
        <item x="0"/>
        <item m="1" x="2"/>
        <item t="default"/>
      </items>
    </pivotField>
  </pivotFields>
  <rowFields count="1">
    <field x="5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pageFields count="2">
    <pageField fld="18" item="1" hier="-1"/>
    <pageField fld="3" hier="-1"/>
  </pageFields>
  <dataFields count="1">
    <dataField name="QTD LOJA" fld="1" subtotal="count" baseField="0" baseItem="0"/>
  </dataFields>
  <formats count="2">
    <format dxfId="47">
      <pivotArea outline="0" collapsedLevelsAreSubtotals="1" fieldPosition="0"/>
    </format>
    <format dxfId="4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6000000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23" firstHeaderRow="1" firstDataRow="1" firstDataCol="1" rowPageCount="1" colPageCount="1"/>
  <pivotFields count="20">
    <pivotField showAll="0"/>
    <pivotField axis="axisRow" dataField="1" showAll="0">
      <items count="257"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77"/>
        <item x="143"/>
        <item x="20"/>
        <item x="80"/>
        <item x="193"/>
        <item x="204"/>
        <item x="167"/>
        <item m="1" x="248"/>
        <item x="141"/>
        <item x="0"/>
        <item x="58"/>
        <item x="73"/>
        <item x="86"/>
        <item x="1"/>
        <item x="215"/>
        <item x="59"/>
        <item x="205"/>
        <item x="206"/>
        <item m="1" x="241"/>
        <item x="144"/>
        <item x="194"/>
        <item x="178"/>
        <item x="105"/>
        <item m="1" x="251"/>
        <item x="195"/>
        <item x="95"/>
        <item x="134"/>
        <item x="21"/>
        <item x="96"/>
        <item x="135"/>
        <item x="124"/>
        <item x="145"/>
        <item x="61"/>
        <item x="29"/>
        <item x="174"/>
        <item x="216"/>
        <item x="116"/>
        <item x="125"/>
        <item x="40"/>
        <item x="41"/>
        <item m="1" x="233"/>
        <item x="198"/>
        <item m="1" x="246"/>
        <item x="117"/>
        <item x="179"/>
        <item x="106"/>
        <item m="1" x="231"/>
        <item x="97"/>
        <item x="130"/>
        <item x="180"/>
        <item m="1" x="252"/>
        <item x="3"/>
        <item x="13"/>
        <item x="147"/>
        <item x="207"/>
        <item x="175"/>
        <item x="81"/>
        <item x="49"/>
        <item x="217"/>
        <item m="1" x="232"/>
        <item x="42"/>
        <item x="82"/>
        <item x="5"/>
        <item x="131"/>
        <item x="118"/>
        <item x="87"/>
        <item x="88"/>
        <item x="164"/>
        <item x="98"/>
        <item x="99"/>
        <item x="199"/>
        <item x="208"/>
        <item x="89"/>
        <item x="196"/>
        <item x="30"/>
        <item x="14"/>
        <item m="1" x="234"/>
        <item x="6"/>
        <item x="136"/>
        <item x="74"/>
        <item x="75"/>
        <item x="22"/>
        <item x="62"/>
        <item x="168"/>
        <item x="148"/>
        <item x="7"/>
        <item x="90"/>
        <item x="8"/>
        <item x="107"/>
        <item x="137"/>
        <item x="63"/>
        <item x="200"/>
        <item x="119"/>
        <item x="209"/>
        <item x="197"/>
        <item x="142"/>
        <item x="218"/>
        <item x="187"/>
        <item x="188"/>
        <item x="189"/>
        <item x="190"/>
        <item x="191"/>
        <item x="192"/>
        <item m="1" x="247"/>
        <item x="64"/>
        <item x="120"/>
        <item x="121"/>
        <item x="76"/>
        <item x="50"/>
        <item x="219"/>
        <item x="132"/>
        <item x="51"/>
        <item x="108"/>
        <item x="182"/>
        <item x="151"/>
        <item x="150"/>
        <item x="220"/>
        <item m="1" x="255"/>
        <item x="43"/>
        <item m="1" x="240"/>
        <item x="91"/>
        <item x="65"/>
        <item x="169"/>
        <item x="9"/>
        <item x="176"/>
        <item x="83"/>
        <item x="133"/>
        <item x="15"/>
        <item m="1" x="235"/>
        <item x="126"/>
        <item x="66"/>
        <item x="84"/>
        <item x="109"/>
        <item x="31"/>
        <item m="1" x="239"/>
        <item x="100"/>
        <item x="101"/>
        <item x="110"/>
        <item x="102"/>
        <item m="1" x="242"/>
        <item x="32"/>
        <item x="111"/>
        <item x="52"/>
        <item x="112"/>
        <item x="152"/>
        <item x="210"/>
        <item x="67"/>
        <item x="68"/>
        <item x="222"/>
        <item x="127"/>
        <item x="33"/>
        <item x="23"/>
        <item x="103"/>
        <item x="138"/>
        <item m="1" x="245"/>
        <item x="113"/>
        <item m="1" x="253"/>
        <item x="24"/>
        <item x="223"/>
        <item m="1" x="236"/>
        <item x="25"/>
        <item x="53"/>
        <item x="18"/>
        <item x="34"/>
        <item x="54"/>
        <item x="184"/>
        <item x="92"/>
        <item x="26"/>
        <item x="55"/>
        <item x="69"/>
        <item m="1" x="238"/>
        <item m="1" x="244"/>
        <item x="104"/>
        <item x="10"/>
        <item x="170"/>
        <item x="70"/>
        <item x="211"/>
        <item x="85"/>
        <item x="45"/>
        <item x="46"/>
        <item x="128"/>
        <item x="171"/>
        <item x="140"/>
        <item x="77"/>
        <item x="78"/>
        <item x="93"/>
        <item x="56"/>
        <item x="35"/>
        <item x="47"/>
        <item x="48"/>
        <item x="201"/>
        <item m="1" x="249"/>
        <item x="166"/>
        <item x="19"/>
        <item x="71"/>
        <item x="57"/>
        <item x="129"/>
        <item x="36"/>
        <item x="79"/>
        <item x="212"/>
        <item m="1" x="254"/>
        <item m="1" x="250"/>
        <item x="172"/>
        <item x="94"/>
        <item x="173"/>
        <item m="1" x="243"/>
        <item x="37"/>
        <item x="38"/>
        <item x="39"/>
        <item m="1" x="237"/>
        <item x="11"/>
        <item x="185"/>
        <item x="123"/>
        <item x="28"/>
        <item x="72"/>
        <item x="114"/>
        <item x="115"/>
        <item x="186"/>
        <item x="202"/>
        <item x="203"/>
        <item x="213"/>
        <item x="214"/>
        <item x="224"/>
        <item x="225"/>
        <item x="226"/>
        <item x="227"/>
        <item x="228"/>
        <item x="229"/>
        <item x="230"/>
        <item x="2"/>
        <item x="4"/>
        <item x="12"/>
        <item x="16"/>
        <item x="17"/>
        <item x="27"/>
        <item x="44"/>
        <item x="60"/>
        <item x="122"/>
        <item x="139"/>
        <item x="146"/>
        <item x="149"/>
        <item x="165"/>
        <item x="181"/>
        <item x="183"/>
        <item x="221"/>
        <item t="default"/>
      </items>
    </pivotField>
    <pivotField showAll="0"/>
    <pivotField axis="axisRow" showAll="0">
      <items count="34">
        <item h="1" x="17"/>
        <item x="5"/>
        <item x="0"/>
        <item m="1" x="27"/>
        <item x="14"/>
        <item m="1" x="29"/>
        <item x="1"/>
        <item x="2"/>
        <item x="23"/>
        <item m="1" x="28"/>
        <item x="9"/>
        <item x="10"/>
        <item x="3"/>
        <item x="6"/>
        <item x="11"/>
        <item x="24"/>
        <item x="15"/>
        <item x="19"/>
        <item x="25"/>
        <item m="1" x="31"/>
        <item x="20"/>
        <item x="18"/>
        <item x="12"/>
        <item x="4"/>
        <item x="13"/>
        <item x="16"/>
        <item m="1" x="30"/>
        <item x="26"/>
        <item m="1" x="32"/>
        <item h="1" x="7"/>
        <item h="1" x="8"/>
        <item h="1" x="21"/>
        <item h="1" x="22"/>
        <item t="default"/>
      </items>
    </pivotField>
    <pivotField axis="axisRow" showAll="0">
      <items count="7">
        <item x="0"/>
        <item x="1"/>
        <item x="2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m="1" x="1"/>
        <item x="0"/>
        <item m="1" x="2"/>
        <item t="default"/>
      </items>
    </pivotField>
    <pivotField showAll="0"/>
  </pivotFields>
  <rowFields count="3">
    <field x="4"/>
    <field x="3"/>
    <field x="1"/>
  </rowFields>
  <rowItems count="220">
    <i>
      <x/>
    </i>
    <i r="1">
      <x v="2"/>
    </i>
    <i r="2">
      <x v="20"/>
    </i>
    <i r="2">
      <x v="24"/>
    </i>
    <i r="2">
      <x v="62"/>
    </i>
    <i r="2">
      <x v="73"/>
    </i>
    <i r="2">
      <x v="88"/>
    </i>
    <i r="2">
      <x v="96"/>
    </i>
    <i r="2">
      <x v="98"/>
    </i>
    <i r="2">
      <x v="134"/>
    </i>
    <i r="2">
      <x v="184"/>
    </i>
    <i r="2">
      <x v="221"/>
    </i>
    <i r="2">
      <x v="240"/>
    </i>
    <i r="1">
      <x v="6"/>
    </i>
    <i r="2">
      <x v="38"/>
    </i>
    <i r="2">
      <x v="63"/>
    </i>
    <i r="2">
      <x v="99"/>
    </i>
    <i r="2">
      <x v="138"/>
    </i>
    <i r="2">
      <x v="166"/>
    </i>
    <i r="2">
      <x v="168"/>
    </i>
    <i r="2">
      <x v="204"/>
    </i>
    <i r="2">
      <x v="226"/>
    </i>
    <i r="2">
      <x v="241"/>
    </i>
    <i r="2">
      <x v="242"/>
    </i>
    <i r="2">
      <x v="243"/>
    </i>
    <i r="1">
      <x v="7"/>
    </i>
    <i r="2">
      <x v="13"/>
    </i>
    <i r="2">
      <x v="86"/>
    </i>
    <i r="2">
      <x v="92"/>
    </i>
    <i r="2">
      <x v="162"/>
    </i>
    <i r="2">
      <x v="171"/>
    </i>
    <i r="2">
      <x v="173"/>
    </i>
    <i r="2">
      <x v="178"/>
    </i>
    <i r="2">
      <x v="224"/>
    </i>
    <i r="2">
      <x v="244"/>
    </i>
    <i r="2">
      <x v="245"/>
    </i>
    <i r="1">
      <x v="12"/>
    </i>
    <i r="2">
      <x v="44"/>
    </i>
    <i r="2">
      <x v="80"/>
    </i>
    <i r="2">
      <x v="85"/>
    </i>
    <i r="2">
      <x v="144"/>
    </i>
    <i r="2">
      <x v="151"/>
    </i>
    <i r="2">
      <x v="152"/>
    </i>
    <i r="2">
      <x v="161"/>
    </i>
    <i r="2">
      <x v="174"/>
    </i>
    <i r="2">
      <x v="198"/>
    </i>
    <i r="2">
      <x v="208"/>
    </i>
    <i r="2">
      <x v="217"/>
    </i>
    <i r="2">
      <x v="218"/>
    </i>
    <i r="2">
      <x v="219"/>
    </i>
    <i r="1">
      <x v="14"/>
    </i>
    <i r="2">
      <x v="36"/>
    </i>
    <i r="2">
      <x v="39"/>
    </i>
    <i r="2">
      <x v="58"/>
    </i>
    <i r="2">
      <x v="79"/>
    </i>
    <i r="2">
      <x v="146"/>
    </i>
    <i r="2">
      <x v="147"/>
    </i>
    <i r="2">
      <x v="148"/>
    </i>
    <i r="2">
      <x v="149"/>
    </i>
    <i r="2">
      <x v="154"/>
    </i>
    <i r="2">
      <x v="163"/>
    </i>
    <i r="2">
      <x v="183"/>
    </i>
    <i r="2">
      <x v="227"/>
    </i>
    <i r="1">
      <x v="23"/>
    </i>
    <i r="2">
      <x v="33"/>
    </i>
    <i r="2">
      <x v="49"/>
    </i>
    <i r="2">
      <x v="50"/>
    </i>
    <i r="2">
      <x v="56"/>
    </i>
    <i r="2">
      <x v="71"/>
    </i>
    <i r="2">
      <x v="123"/>
    </i>
    <i r="2">
      <x v="129"/>
    </i>
    <i r="2">
      <x v="143"/>
    </i>
    <i r="2">
      <x v="189"/>
    </i>
    <i r="2">
      <x v="190"/>
    </i>
    <i r="2">
      <x v="199"/>
    </i>
    <i r="2">
      <x v="200"/>
    </i>
    <i r="2">
      <x v="246"/>
    </i>
    <i r="1">
      <x v="24"/>
    </i>
    <i r="2">
      <x v="41"/>
    </i>
    <i r="2">
      <x v="48"/>
    </i>
    <i r="2">
      <x v="140"/>
    </i>
    <i r="2">
      <x v="160"/>
    </i>
    <i r="2">
      <x v="191"/>
    </i>
    <i r="2">
      <x v="207"/>
    </i>
    <i>
      <x v="1"/>
    </i>
    <i r="1">
      <x v="1"/>
    </i>
    <i r="2">
      <x v="68"/>
    </i>
    <i r="2">
      <x v="119"/>
    </i>
    <i r="2">
      <x v="153"/>
    </i>
    <i r="2">
      <x v="172"/>
    </i>
    <i r="2">
      <x v="175"/>
    </i>
    <i r="2">
      <x v="197"/>
    </i>
    <i r="1">
      <x v="10"/>
    </i>
    <i r="2">
      <x v="26"/>
    </i>
    <i r="2">
      <x v="43"/>
    </i>
    <i r="2">
      <x v="101"/>
    </i>
    <i r="2">
      <x v="141"/>
    </i>
    <i r="2">
      <x v="158"/>
    </i>
    <i r="2">
      <x v="180"/>
    </i>
    <i r="2">
      <x v="205"/>
    </i>
    <i r="2">
      <x v="225"/>
    </i>
    <i r="1">
      <x v="11"/>
    </i>
    <i r="2">
      <x v="14"/>
    </i>
    <i r="2">
      <x v="67"/>
    </i>
    <i r="2">
      <x v="72"/>
    </i>
    <i r="2">
      <x v="136"/>
    </i>
    <i r="2">
      <x v="142"/>
    </i>
    <i r="2">
      <x v="188"/>
    </i>
    <i r="1">
      <x v="13"/>
    </i>
    <i r="2">
      <x v="23"/>
    </i>
    <i r="2">
      <x v="76"/>
    </i>
    <i r="2">
      <x v="77"/>
    </i>
    <i r="2">
      <x v="97"/>
    </i>
    <i r="2">
      <x v="122"/>
    </i>
    <i r="2">
      <x v="131"/>
    </i>
    <i r="2">
      <x v="177"/>
    </i>
    <i r="2">
      <x v="179"/>
    </i>
    <i r="2">
      <x v="196"/>
    </i>
    <i r="1">
      <x v="22"/>
    </i>
    <i r="2">
      <x v="47"/>
    </i>
    <i r="2">
      <x v="54"/>
    </i>
    <i r="2">
      <x v="75"/>
    </i>
    <i r="2">
      <x v="103"/>
    </i>
    <i r="2">
      <x v="116"/>
    </i>
    <i r="2">
      <x v="117"/>
    </i>
    <i r="2">
      <x v="223"/>
    </i>
    <i r="2">
      <x v="248"/>
    </i>
    <i>
      <x v="2"/>
    </i>
    <i r="1">
      <x v="4"/>
    </i>
    <i r="2">
      <x v="59"/>
    </i>
    <i r="2">
      <x v="74"/>
    </i>
    <i r="2">
      <x v="121"/>
    </i>
    <i r="2">
      <x v="137"/>
    </i>
    <i r="1">
      <x v="16"/>
    </i>
    <i r="2">
      <x v="19"/>
    </i>
    <i r="2">
      <x v="37"/>
    </i>
    <i r="2">
      <x v="40"/>
    </i>
    <i r="2">
      <x v="89"/>
    </i>
    <i r="2">
      <x v="100"/>
    </i>
    <i r="2">
      <x v="106"/>
    </i>
    <i r="2">
      <x v="164"/>
    </i>
    <i r="2">
      <x v="193"/>
    </i>
    <i r="2">
      <x v="249"/>
    </i>
    <i r="1">
      <x v="25"/>
    </i>
    <i r="2">
      <x v="12"/>
    </i>
    <i r="2">
      <x v="30"/>
    </i>
    <i r="2">
      <x v="42"/>
    </i>
    <i r="2">
      <x v="64"/>
    </i>
    <i r="2">
      <x v="95"/>
    </i>
    <i r="2">
      <x v="125"/>
    </i>
    <i r="2">
      <x v="126"/>
    </i>
    <i r="2">
      <x v="155"/>
    </i>
    <i r="2">
      <x v="169"/>
    </i>
    <i r="2">
      <x v="250"/>
    </i>
    <i r="2">
      <x v="251"/>
    </i>
    <i r="1">
      <x v="27"/>
    </i>
    <i r="2">
      <x v="233"/>
    </i>
    <i r="2">
      <x v="235"/>
    </i>
    <i r="2">
      <x v="236"/>
    </i>
    <i r="2">
      <x v="237"/>
    </i>
    <i r="2">
      <x v="238"/>
    </i>
    <i r="2">
      <x v="239"/>
    </i>
    <i>
      <x v="3"/>
    </i>
    <i r="1">
      <x v="17"/>
    </i>
    <i r="2">
      <x v="17"/>
    </i>
    <i r="2">
      <x v="94"/>
    </i>
    <i r="2">
      <x v="133"/>
    </i>
    <i r="2">
      <x v="185"/>
    </i>
    <i r="2">
      <x v="192"/>
    </i>
    <i r="2">
      <x v="213"/>
    </i>
    <i r="2">
      <x v="215"/>
    </i>
    <i r="2">
      <x v="234"/>
    </i>
    <i r="1">
      <x v="20"/>
    </i>
    <i r="2">
      <x v="11"/>
    </i>
    <i r="2">
      <x v="32"/>
    </i>
    <i r="2">
      <x v="55"/>
    </i>
    <i r="2">
      <x v="60"/>
    </i>
    <i r="2">
      <x v="124"/>
    </i>
    <i r="2">
      <x v="176"/>
    </i>
    <i r="2">
      <x v="222"/>
    </i>
    <i r="2">
      <x v="228"/>
    </i>
    <i r="2">
      <x v="253"/>
    </i>
    <i r="2">
      <x v="254"/>
    </i>
    <i r="1">
      <x v="21"/>
    </i>
    <i r="2">
      <x v="45"/>
    </i>
    <i r="2">
      <x v="66"/>
    </i>
    <i r="2">
      <x v="78"/>
    </i>
    <i r="2">
      <x v="135"/>
    </i>
    <i r="2">
      <x v="203"/>
    </i>
    <i r="2">
      <x v="252"/>
    </i>
    <i>
      <x v="5"/>
    </i>
    <i r="1">
      <x v="8"/>
    </i>
    <i r="2">
      <x v="52"/>
    </i>
    <i r="2">
      <x v="81"/>
    </i>
    <i r="2">
      <x v="102"/>
    </i>
    <i r="2">
      <x v="201"/>
    </i>
    <i r="2">
      <x v="229"/>
    </i>
    <i r="2">
      <x v="230"/>
    </i>
    <i r="1">
      <x v="15"/>
    </i>
    <i r="2">
      <x v="16"/>
    </i>
    <i r="2">
      <x v="27"/>
    </i>
    <i r="2">
      <x v="28"/>
    </i>
    <i r="2">
      <x v="65"/>
    </i>
    <i r="2">
      <x v="82"/>
    </i>
    <i r="2">
      <x v="104"/>
    </i>
    <i r="2">
      <x v="156"/>
    </i>
    <i r="2">
      <x v="187"/>
    </i>
    <i r="2">
      <x v="210"/>
    </i>
    <i r="2">
      <x v="231"/>
    </i>
    <i r="2">
      <x v="232"/>
    </i>
    <i r="1">
      <x v="18"/>
    </i>
    <i r="2">
      <x v="25"/>
    </i>
    <i r="2">
      <x v="46"/>
    </i>
    <i r="2">
      <x v="69"/>
    </i>
    <i r="2">
      <x v="107"/>
    </i>
    <i r="2">
      <x v="120"/>
    </i>
    <i r="2">
      <x v="127"/>
    </i>
    <i r="2">
      <x v="159"/>
    </i>
    <i r="2">
      <x v="255"/>
    </i>
    <i t="grand">
      <x/>
    </i>
  </rowItems>
  <colItems count="1">
    <i/>
  </colItems>
  <pageFields count="1">
    <pageField fld="18" item="1" hier="-1"/>
  </pageFields>
  <dataFields count="1">
    <dataField name="Contagem de LOJA" fld="1" subtotal="count" baseField="0" baseItem="0"/>
  </dataFields>
  <formats count="12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4" type="button" dataOnly="0" labelOnly="1" outline="0" axis="axisRow" fieldPosition="0"/>
    </format>
    <format dxfId="42">
      <pivotArea dataOnly="0" labelOnly="1" fieldPosition="0">
        <references count="1">
          <reference field="4" count="0"/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2">
          <reference field="3" count="6">
            <x v="2"/>
            <x v="3"/>
            <x v="6"/>
            <x v="7"/>
            <x v="12"/>
            <x v="23"/>
          </reference>
          <reference field="4" count="1" selected="0">
            <x v="0"/>
          </reference>
        </references>
      </pivotArea>
    </format>
    <format dxfId="39">
      <pivotArea dataOnly="0" labelOnly="1" fieldPosition="0">
        <references count="2">
          <reference field="3" count="9">
            <x v="1"/>
            <x v="5"/>
            <x v="9"/>
            <x v="10"/>
            <x v="11"/>
            <x v="13"/>
            <x v="14"/>
            <x v="22"/>
            <x v="24"/>
          </reference>
          <reference field="4" count="1" selected="0">
            <x v="1"/>
          </reference>
        </references>
      </pivotArea>
    </format>
    <format dxfId="38">
      <pivotArea dataOnly="0" labelOnly="1" fieldPosition="0">
        <references count="2">
          <reference field="3" count="3">
            <x v="4"/>
            <x v="16"/>
            <x v="25"/>
          </reference>
          <reference field="4" count="1" selected="0">
            <x v="2"/>
          </reference>
        </references>
      </pivotArea>
    </format>
    <format dxfId="37">
      <pivotArea dataOnly="0" labelOnly="1" fieldPosition="0">
        <references count="2">
          <reference field="3" count="4">
            <x v="17"/>
            <x v="19"/>
            <x v="20"/>
            <x v="21"/>
          </reference>
          <reference field="4" count="1" selected="0">
            <x v="3"/>
          </reference>
        </references>
      </pivotArea>
    </format>
    <format dxfId="36">
      <pivotArea dataOnly="0" labelOnly="1" fieldPosition="0">
        <references count="2">
          <reference field="3" count="1">
            <x v="0"/>
          </reference>
          <reference field="4" count="1" selected="0">
            <x v="4"/>
          </reference>
        </references>
      </pivotArea>
    </format>
    <format dxfId="35">
      <pivotArea dataOnly="0" labelOnly="1" fieldPosition="0">
        <references count="2">
          <reference field="3" count="3">
            <x v="8"/>
            <x v="15"/>
            <x v="18"/>
          </reference>
          <reference field="4" count="1" selected="0">
            <x v="5"/>
          </reference>
        </references>
      </pivotArea>
    </format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2:O27"/>
  <sheetViews>
    <sheetView workbookViewId="0">
      <selection activeCell="E23" sqref="E23"/>
    </sheetView>
  </sheetViews>
  <sheetFormatPr defaultRowHeight="15" x14ac:dyDescent="0.25"/>
  <cols>
    <col min="1" max="1" width="41" bestFit="1" customWidth="1"/>
    <col min="2" max="2" width="11.85546875" customWidth="1"/>
    <col min="4" max="4" width="41" bestFit="1" customWidth="1"/>
    <col min="5" max="5" width="11.85546875" customWidth="1"/>
    <col min="9" max="9" width="29.28515625" bestFit="1" customWidth="1"/>
    <col min="10" max="10" width="33" customWidth="1"/>
    <col min="11" max="11" width="5.42578125" customWidth="1"/>
  </cols>
  <sheetData>
    <row r="2" spans="1:15" x14ac:dyDescent="0.25">
      <c r="A2" s="6" t="s">
        <v>377</v>
      </c>
      <c r="D2" s="6" t="s">
        <v>378</v>
      </c>
    </row>
    <row r="3" spans="1:15" x14ac:dyDescent="0.25">
      <c r="A3" s="3" t="s">
        <v>368</v>
      </c>
      <c r="D3" s="3" t="s">
        <v>368</v>
      </c>
      <c r="I3" s="6" t="s">
        <v>578</v>
      </c>
    </row>
    <row r="4" spans="1:15" x14ac:dyDescent="0.25">
      <c r="A4" s="3" t="s">
        <v>366</v>
      </c>
      <c r="D4" s="3" t="s">
        <v>366</v>
      </c>
      <c r="I4" t="s">
        <v>368</v>
      </c>
    </row>
    <row r="5" spans="1:15" x14ac:dyDescent="0.25">
      <c r="A5" s="3" t="s">
        <v>370</v>
      </c>
      <c r="D5" s="3" t="s">
        <v>370</v>
      </c>
      <c r="I5" t="s">
        <v>366</v>
      </c>
    </row>
    <row r="6" spans="1:15" x14ac:dyDescent="0.25">
      <c r="A6" s="3" t="s">
        <v>67</v>
      </c>
      <c r="D6" s="3" t="s">
        <v>67</v>
      </c>
      <c r="I6" t="s">
        <v>370</v>
      </c>
    </row>
    <row r="7" spans="1:15" x14ac:dyDescent="0.25">
      <c r="A7" s="3" t="s">
        <v>1163</v>
      </c>
      <c r="D7" s="3" t="s">
        <v>1163</v>
      </c>
      <c r="I7" t="s">
        <v>67</v>
      </c>
    </row>
    <row r="8" spans="1:15" x14ac:dyDescent="0.25">
      <c r="A8" s="3" t="s">
        <v>391</v>
      </c>
      <c r="D8" s="3" t="s">
        <v>391</v>
      </c>
      <c r="I8" s="4" t="s">
        <v>376</v>
      </c>
      <c r="J8" s="4"/>
      <c r="K8" s="4"/>
      <c r="L8" s="4"/>
      <c r="M8" s="4"/>
      <c r="N8" s="4"/>
      <c r="O8" s="4"/>
    </row>
    <row r="9" spans="1:15" x14ac:dyDescent="0.25">
      <c r="A9" s="3" t="s">
        <v>395</v>
      </c>
      <c r="D9" s="3" t="s">
        <v>395</v>
      </c>
    </row>
    <row r="10" spans="1:15" x14ac:dyDescent="0.25">
      <c r="A10" s="3" t="s">
        <v>101</v>
      </c>
      <c r="D10" s="3" t="s">
        <v>101</v>
      </c>
    </row>
    <row r="11" spans="1:15" x14ac:dyDescent="0.25">
      <c r="A11" s="3" t="s">
        <v>397</v>
      </c>
      <c r="D11" s="3" t="s">
        <v>397</v>
      </c>
    </row>
    <row r="12" spans="1:15" x14ac:dyDescent="0.25">
      <c r="A12" s="3" t="s">
        <v>1245</v>
      </c>
      <c r="D12" s="3" t="s">
        <v>1245</v>
      </c>
    </row>
    <row r="13" spans="1:15" x14ac:dyDescent="0.25">
      <c r="A13" s="3" t="s">
        <v>1279</v>
      </c>
      <c r="D13" s="3" t="s">
        <v>1279</v>
      </c>
    </row>
    <row r="14" spans="1:15" x14ac:dyDescent="0.25">
      <c r="A14" s="3" t="s">
        <v>1220</v>
      </c>
      <c r="D14" s="3" t="s">
        <v>1220</v>
      </c>
    </row>
    <row r="15" spans="1:15" x14ac:dyDescent="0.25">
      <c r="A15" s="3" t="s">
        <v>7</v>
      </c>
      <c r="D15" s="3" t="s">
        <v>7</v>
      </c>
    </row>
    <row r="16" spans="1:15" x14ac:dyDescent="0.25">
      <c r="A16" s="3" t="s">
        <v>396</v>
      </c>
      <c r="D16" s="3" t="s">
        <v>396</v>
      </c>
    </row>
    <row r="17" spans="1:4" x14ac:dyDescent="0.25">
      <c r="A17" s="3" t="s">
        <v>398</v>
      </c>
      <c r="D17" s="3" t="s">
        <v>398</v>
      </c>
    </row>
    <row r="18" spans="1:4" x14ac:dyDescent="0.25">
      <c r="A18" s="3" t="s">
        <v>401</v>
      </c>
      <c r="D18" s="3" t="s">
        <v>401</v>
      </c>
    </row>
    <row r="19" spans="1:4" x14ac:dyDescent="0.25">
      <c r="A19" s="3" t="s">
        <v>1145</v>
      </c>
      <c r="D19" s="3" t="s">
        <v>1145</v>
      </c>
    </row>
    <row r="20" spans="1:4" x14ac:dyDescent="0.25">
      <c r="A20" s="3" t="s">
        <v>1124</v>
      </c>
      <c r="D20" s="3" t="s">
        <v>1124</v>
      </c>
    </row>
    <row r="21" spans="1:4" x14ac:dyDescent="0.25">
      <c r="A21" s="3" t="s">
        <v>1154</v>
      </c>
      <c r="D21" s="3" t="s">
        <v>1154</v>
      </c>
    </row>
    <row r="22" spans="1:4" x14ac:dyDescent="0.25">
      <c r="A22" s="3" t="s">
        <v>1115</v>
      </c>
      <c r="D22" s="3" t="s">
        <v>1115</v>
      </c>
    </row>
    <row r="23" spans="1:4" x14ac:dyDescent="0.25">
      <c r="A23" s="3" t="s">
        <v>399</v>
      </c>
      <c r="D23" s="3" t="s">
        <v>399</v>
      </c>
    </row>
    <row r="24" spans="1:4" x14ac:dyDescent="0.25">
      <c r="A24" s="3" t="s">
        <v>1343</v>
      </c>
      <c r="D24" s="3" t="s">
        <v>1343</v>
      </c>
    </row>
    <row r="25" spans="1:4" x14ac:dyDescent="0.25">
      <c r="A25" s="3" t="s">
        <v>1318</v>
      </c>
      <c r="D25" s="3" t="s">
        <v>1318</v>
      </c>
    </row>
    <row r="26" spans="1:4" x14ac:dyDescent="0.25">
      <c r="A26" s="5" t="s">
        <v>376</v>
      </c>
      <c r="D26" s="5" t="s">
        <v>376</v>
      </c>
    </row>
    <row r="27" spans="1:4" x14ac:dyDescent="0.25">
      <c r="A27" t="s">
        <v>165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3:A27"/>
  <sheetViews>
    <sheetView topLeftCell="A10" workbookViewId="0">
      <selection activeCell="B37" sqref="B37"/>
    </sheetView>
  </sheetViews>
  <sheetFormatPr defaultRowHeight="15" x14ac:dyDescent="0.25"/>
  <cols>
    <col min="1" max="1" width="41" bestFit="1" customWidth="1"/>
    <col min="2" max="2" width="19.5703125" bestFit="1" customWidth="1"/>
  </cols>
  <sheetData>
    <row r="3" spans="1:1" x14ac:dyDescent="0.25">
      <c r="A3" s="6" t="s">
        <v>394</v>
      </c>
    </row>
    <row r="4" spans="1:1" x14ac:dyDescent="0.25">
      <c r="A4" s="3" t="s">
        <v>368</v>
      </c>
    </row>
    <row r="5" spans="1:1" x14ac:dyDescent="0.25">
      <c r="A5" s="3" t="s">
        <v>366</v>
      </c>
    </row>
    <row r="6" spans="1:1" x14ac:dyDescent="0.25">
      <c r="A6" s="3" t="s">
        <v>370</v>
      </c>
    </row>
    <row r="7" spans="1:1" x14ac:dyDescent="0.25">
      <c r="A7" s="3" t="s">
        <v>391</v>
      </c>
    </row>
    <row r="8" spans="1:1" x14ac:dyDescent="0.25">
      <c r="A8" s="3" t="s">
        <v>67</v>
      </c>
    </row>
    <row r="9" spans="1:1" x14ac:dyDescent="0.25">
      <c r="A9" s="3" t="s">
        <v>1163</v>
      </c>
    </row>
    <row r="10" spans="1:1" x14ac:dyDescent="0.25">
      <c r="A10" s="3" t="s">
        <v>395</v>
      </c>
    </row>
    <row r="11" spans="1:1" x14ac:dyDescent="0.25">
      <c r="A11" s="3" t="s">
        <v>101</v>
      </c>
    </row>
    <row r="12" spans="1:1" x14ac:dyDescent="0.25">
      <c r="A12" s="3" t="s">
        <v>397</v>
      </c>
    </row>
    <row r="13" spans="1:1" x14ac:dyDescent="0.25">
      <c r="A13" s="3" t="s">
        <v>1245</v>
      </c>
    </row>
    <row r="14" spans="1:1" x14ac:dyDescent="0.25">
      <c r="A14" s="3" t="s">
        <v>1279</v>
      </c>
    </row>
    <row r="15" spans="1:1" x14ac:dyDescent="0.25">
      <c r="A15" s="3" t="s">
        <v>1220</v>
      </c>
    </row>
    <row r="16" spans="1:1" x14ac:dyDescent="0.25">
      <c r="A16" s="3" t="s">
        <v>7</v>
      </c>
    </row>
    <row r="17" spans="1:1" x14ac:dyDescent="0.25">
      <c r="A17" s="3" t="s">
        <v>396</v>
      </c>
    </row>
    <row r="18" spans="1:1" x14ac:dyDescent="0.25">
      <c r="A18" s="3" t="s">
        <v>398</v>
      </c>
    </row>
    <row r="19" spans="1:1" x14ac:dyDescent="0.25">
      <c r="A19" s="3" t="s">
        <v>401</v>
      </c>
    </row>
    <row r="20" spans="1:1" x14ac:dyDescent="0.25">
      <c r="A20" s="3" t="s">
        <v>1145</v>
      </c>
    </row>
    <row r="21" spans="1:1" x14ac:dyDescent="0.25">
      <c r="A21" s="3" t="s">
        <v>1124</v>
      </c>
    </row>
    <row r="22" spans="1:1" x14ac:dyDescent="0.25">
      <c r="A22" s="3" t="s">
        <v>1154</v>
      </c>
    </row>
    <row r="23" spans="1:1" x14ac:dyDescent="0.25">
      <c r="A23" s="3" t="s">
        <v>1115</v>
      </c>
    </row>
    <row r="24" spans="1:1" x14ac:dyDescent="0.25">
      <c r="A24" s="3" t="s">
        <v>399</v>
      </c>
    </row>
    <row r="25" spans="1:1" x14ac:dyDescent="0.25">
      <c r="A25" s="3" t="s">
        <v>1343</v>
      </c>
    </row>
    <row r="26" spans="1:1" x14ac:dyDescent="0.25">
      <c r="A26" s="3" t="s">
        <v>1318</v>
      </c>
    </row>
    <row r="27" spans="1:1" x14ac:dyDescent="0.25">
      <c r="A27" s="3" t="s">
        <v>376</v>
      </c>
    </row>
  </sheetData>
  <pageMargins left="0.511811024" right="0.511811024" top="0.78740157499999996" bottom="0.78740157499999996" header="0.31496062000000002" footer="0.31496062000000002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T700"/>
  <sheetViews>
    <sheetView workbookViewId="0"/>
  </sheetViews>
  <sheetFormatPr defaultRowHeight="15" x14ac:dyDescent="0.25"/>
  <cols>
    <col min="1" max="1" width="8" bestFit="1" customWidth="1"/>
    <col min="2" max="2" width="45.140625" bestFit="1" customWidth="1"/>
    <col min="3" max="3" width="46.5703125" customWidth="1"/>
    <col min="4" max="4" width="41" customWidth="1"/>
    <col min="5" max="5" width="31.7109375" customWidth="1"/>
    <col min="6" max="6" width="4" customWidth="1"/>
    <col min="7" max="7" width="53.7109375" customWidth="1"/>
    <col min="8" max="8" width="32.28515625" customWidth="1"/>
    <col min="9" max="9" width="29.42578125" customWidth="1"/>
    <col min="10" max="10" width="9.7109375" customWidth="1"/>
    <col min="11" max="11" width="14.42578125" style="9" bestFit="1" customWidth="1"/>
    <col min="12" max="12" width="23.28515625" style="7" bestFit="1" customWidth="1"/>
    <col min="13" max="13" width="7.85546875" style="2" bestFit="1" customWidth="1"/>
    <col min="14" max="14" width="16.42578125" bestFit="1" customWidth="1"/>
    <col min="15" max="15" width="10.5703125" bestFit="1" customWidth="1"/>
    <col min="16" max="16" width="11.5703125" bestFit="1" customWidth="1"/>
    <col min="17" max="17" width="4" bestFit="1" customWidth="1"/>
    <col min="18" max="18" width="41.28515625" bestFit="1" customWidth="1"/>
    <col min="19" max="19" width="11" style="2" bestFit="1" customWidth="1"/>
    <col min="20" max="20" width="7.7109375" bestFit="1" customWidth="1"/>
  </cols>
  <sheetData>
    <row r="1" spans="1:20" x14ac:dyDescent="0.25">
      <c r="A1" s="10" t="s">
        <v>576</v>
      </c>
      <c r="B1" s="10" t="s">
        <v>577</v>
      </c>
      <c r="C1" s="10" t="s">
        <v>585</v>
      </c>
      <c r="D1" s="10" t="s">
        <v>578</v>
      </c>
      <c r="E1" s="10" t="s">
        <v>579</v>
      </c>
      <c r="F1" s="10" t="s">
        <v>586</v>
      </c>
      <c r="G1" s="10" t="s">
        <v>587</v>
      </c>
      <c r="H1" s="10" t="s">
        <v>588</v>
      </c>
      <c r="I1" s="10" t="s">
        <v>582</v>
      </c>
      <c r="J1" s="10" t="s">
        <v>589</v>
      </c>
      <c r="K1" s="11" t="s">
        <v>1114</v>
      </c>
      <c r="L1" s="13" t="s">
        <v>383</v>
      </c>
      <c r="M1" s="12" t="s">
        <v>372</v>
      </c>
      <c r="N1" s="14" t="s">
        <v>581</v>
      </c>
      <c r="O1" s="10" t="s">
        <v>580</v>
      </c>
      <c r="P1" s="10" t="s">
        <v>429</v>
      </c>
      <c r="Q1" s="10" t="s">
        <v>583</v>
      </c>
      <c r="R1" s="10" t="s">
        <v>584</v>
      </c>
      <c r="S1" s="12" t="s">
        <v>360</v>
      </c>
      <c r="T1" s="10" t="s">
        <v>1431</v>
      </c>
    </row>
    <row r="2" spans="1:20" ht="15" customHeight="1" x14ac:dyDescent="0.25">
      <c r="A2">
        <v>20990</v>
      </c>
      <c r="B2" t="s">
        <v>222</v>
      </c>
      <c r="C2" t="s">
        <v>1166</v>
      </c>
      <c r="D2" t="s">
        <v>368</v>
      </c>
      <c r="E2" t="s">
        <v>10</v>
      </c>
      <c r="F2" t="s">
        <v>613</v>
      </c>
      <c r="G2" t="s">
        <v>614</v>
      </c>
      <c r="H2" t="s">
        <v>592</v>
      </c>
      <c r="I2" t="s">
        <v>436</v>
      </c>
      <c r="J2" t="s">
        <v>615</v>
      </c>
      <c r="L2" s="2">
        <v>0</v>
      </c>
      <c r="M2" s="2">
        <v>4</v>
      </c>
      <c r="N2" t="s">
        <v>389</v>
      </c>
      <c r="O2" t="s">
        <v>380</v>
      </c>
      <c r="P2" t="s">
        <v>432</v>
      </c>
      <c r="Q2">
        <v>726</v>
      </c>
      <c r="R2" t="s">
        <v>223</v>
      </c>
      <c r="S2" s="2" t="s">
        <v>3</v>
      </c>
    </row>
    <row r="3" spans="1:20" ht="15" customHeight="1" x14ac:dyDescent="0.25">
      <c r="A3">
        <v>2222</v>
      </c>
      <c r="B3" t="s">
        <v>82</v>
      </c>
      <c r="C3" t="s">
        <v>1167</v>
      </c>
      <c r="D3" t="s">
        <v>368</v>
      </c>
      <c r="E3" t="s">
        <v>10</v>
      </c>
      <c r="F3" t="s">
        <v>613</v>
      </c>
      <c r="G3" t="s">
        <v>622</v>
      </c>
      <c r="H3" t="s">
        <v>592</v>
      </c>
      <c r="I3" t="s">
        <v>438</v>
      </c>
      <c r="J3" t="s">
        <v>623</v>
      </c>
      <c r="L3" s="2">
        <v>0</v>
      </c>
      <c r="M3" s="2">
        <v>3</v>
      </c>
      <c r="N3" t="s">
        <v>389</v>
      </c>
      <c r="O3" t="s">
        <v>380</v>
      </c>
      <c r="P3" t="s">
        <v>432</v>
      </c>
      <c r="Q3">
        <v>777</v>
      </c>
      <c r="R3" t="s">
        <v>82</v>
      </c>
      <c r="S3" s="2" t="s">
        <v>3</v>
      </c>
    </row>
    <row r="4" spans="1:20" ht="15" customHeight="1" x14ac:dyDescent="0.25">
      <c r="A4">
        <v>2913</v>
      </c>
      <c r="B4" t="s">
        <v>1432</v>
      </c>
      <c r="C4" t="s">
        <v>1168</v>
      </c>
      <c r="D4" t="s">
        <v>368</v>
      </c>
      <c r="E4" t="s">
        <v>10</v>
      </c>
      <c r="F4" t="s">
        <v>613</v>
      </c>
      <c r="G4" t="s">
        <v>695</v>
      </c>
      <c r="H4" t="s">
        <v>592</v>
      </c>
      <c r="I4" t="s">
        <v>460</v>
      </c>
      <c r="J4" t="s">
        <v>696</v>
      </c>
      <c r="K4" s="9">
        <v>44088</v>
      </c>
      <c r="L4" s="7">
        <v>44088</v>
      </c>
      <c r="M4" s="2">
        <v>5</v>
      </c>
      <c r="N4" t="s">
        <v>389</v>
      </c>
      <c r="O4" t="s">
        <v>380</v>
      </c>
      <c r="P4" t="s">
        <v>432</v>
      </c>
      <c r="Q4">
        <v>744</v>
      </c>
      <c r="R4" t="s">
        <v>85</v>
      </c>
      <c r="S4" s="2" t="s">
        <v>3</v>
      </c>
    </row>
    <row r="5" spans="1:20" ht="15" customHeight="1" x14ac:dyDescent="0.25">
      <c r="A5">
        <v>20987</v>
      </c>
      <c r="B5" t="s">
        <v>219</v>
      </c>
      <c r="C5" t="s">
        <v>1169</v>
      </c>
      <c r="D5" t="s">
        <v>368</v>
      </c>
      <c r="E5" t="s">
        <v>10</v>
      </c>
      <c r="F5" t="s">
        <v>613</v>
      </c>
      <c r="G5" t="s">
        <v>703</v>
      </c>
      <c r="H5" t="s">
        <v>592</v>
      </c>
      <c r="I5" t="s">
        <v>462</v>
      </c>
      <c r="J5" t="s">
        <v>704</v>
      </c>
      <c r="L5" s="2">
        <v>0</v>
      </c>
      <c r="M5" s="2">
        <v>6</v>
      </c>
      <c r="N5" t="s">
        <v>389</v>
      </c>
      <c r="O5" t="s">
        <v>380</v>
      </c>
      <c r="P5" t="s">
        <v>432</v>
      </c>
      <c r="Q5">
        <v>727</v>
      </c>
      <c r="R5" t="s">
        <v>219</v>
      </c>
      <c r="S5" s="2" t="s">
        <v>3</v>
      </c>
    </row>
    <row r="6" spans="1:20" ht="15" customHeight="1" x14ac:dyDescent="0.25">
      <c r="A6">
        <v>10331</v>
      </c>
      <c r="B6" t="s">
        <v>1433</v>
      </c>
      <c r="C6" t="s">
        <v>1170</v>
      </c>
      <c r="D6" t="s">
        <v>366</v>
      </c>
      <c r="E6" t="s">
        <v>10</v>
      </c>
      <c r="F6" t="s">
        <v>590</v>
      </c>
      <c r="G6" t="s">
        <v>720</v>
      </c>
      <c r="H6" t="s">
        <v>592</v>
      </c>
      <c r="I6" t="s">
        <v>468</v>
      </c>
      <c r="J6" t="s">
        <v>721</v>
      </c>
      <c r="K6" s="9">
        <v>44075</v>
      </c>
      <c r="L6" s="7">
        <v>44075</v>
      </c>
      <c r="M6" s="2">
        <v>4</v>
      </c>
      <c r="N6" t="s">
        <v>389</v>
      </c>
      <c r="O6" t="s">
        <v>380</v>
      </c>
      <c r="P6" t="s">
        <v>432</v>
      </c>
      <c r="Q6">
        <v>755</v>
      </c>
      <c r="R6" t="s">
        <v>139</v>
      </c>
      <c r="S6" s="2" t="s">
        <v>3</v>
      </c>
    </row>
    <row r="7" spans="1:20" ht="15" customHeight="1" x14ac:dyDescent="0.25">
      <c r="A7">
        <v>2802</v>
      </c>
      <c r="B7" t="s">
        <v>83</v>
      </c>
      <c r="C7" t="s">
        <v>1171</v>
      </c>
      <c r="D7" t="s">
        <v>368</v>
      </c>
      <c r="E7" t="s">
        <v>10</v>
      </c>
      <c r="F7" t="s">
        <v>613</v>
      </c>
      <c r="G7" t="s">
        <v>727</v>
      </c>
      <c r="H7" t="s">
        <v>592</v>
      </c>
      <c r="I7" t="s">
        <v>471</v>
      </c>
      <c r="J7" t="s">
        <v>728</v>
      </c>
      <c r="L7" s="2">
        <v>0</v>
      </c>
      <c r="M7" s="2">
        <v>5</v>
      </c>
      <c r="N7" t="s">
        <v>389</v>
      </c>
      <c r="O7" t="s">
        <v>380</v>
      </c>
      <c r="P7" t="s">
        <v>432</v>
      </c>
      <c r="Q7">
        <v>751</v>
      </c>
      <c r="R7" t="s">
        <v>83</v>
      </c>
      <c r="S7" s="2" t="s">
        <v>3</v>
      </c>
    </row>
    <row r="8" spans="1:20" ht="15" customHeight="1" x14ac:dyDescent="0.25">
      <c r="A8">
        <v>200022</v>
      </c>
      <c r="B8" t="s">
        <v>322</v>
      </c>
      <c r="C8" t="s">
        <v>1172</v>
      </c>
      <c r="D8" t="s">
        <v>368</v>
      </c>
      <c r="E8" t="s">
        <v>10</v>
      </c>
      <c r="F8" t="s">
        <v>613</v>
      </c>
      <c r="G8" t="s">
        <v>1361</v>
      </c>
      <c r="H8" t="s">
        <v>592</v>
      </c>
      <c r="I8" t="s">
        <v>769</v>
      </c>
      <c r="J8" t="s">
        <v>770</v>
      </c>
      <c r="K8" s="9">
        <v>44603</v>
      </c>
      <c r="L8" s="7">
        <v>44603</v>
      </c>
      <c r="M8" s="2">
        <v>4</v>
      </c>
      <c r="N8" t="s">
        <v>388</v>
      </c>
      <c r="O8" t="s">
        <v>381</v>
      </c>
      <c r="P8" t="s">
        <v>381</v>
      </c>
      <c r="Q8">
        <v>890</v>
      </c>
      <c r="R8" t="s">
        <v>323</v>
      </c>
      <c r="S8" s="2" t="s">
        <v>3</v>
      </c>
    </row>
    <row r="9" spans="1:20" ht="15" customHeight="1" x14ac:dyDescent="0.25">
      <c r="A9">
        <v>20959</v>
      </c>
      <c r="B9" t="s">
        <v>218</v>
      </c>
      <c r="C9" t="s">
        <v>1173</v>
      </c>
      <c r="D9" t="s">
        <v>368</v>
      </c>
      <c r="E9" t="s">
        <v>10</v>
      </c>
      <c r="F9" t="s">
        <v>613</v>
      </c>
      <c r="G9" t="s">
        <v>785</v>
      </c>
      <c r="H9" t="s">
        <v>640</v>
      </c>
      <c r="I9" t="s">
        <v>484</v>
      </c>
      <c r="J9" t="s">
        <v>786</v>
      </c>
      <c r="L9" s="2">
        <v>0</v>
      </c>
      <c r="M9" s="2">
        <v>7</v>
      </c>
      <c r="N9" t="s">
        <v>388</v>
      </c>
      <c r="O9" t="s">
        <v>380</v>
      </c>
      <c r="P9" t="s">
        <v>432</v>
      </c>
      <c r="Q9">
        <v>705</v>
      </c>
      <c r="R9" t="s">
        <v>218</v>
      </c>
      <c r="S9" s="2" t="s">
        <v>3</v>
      </c>
    </row>
    <row r="10" spans="1:20" ht="15" customHeight="1" x14ac:dyDescent="0.25">
      <c r="A10">
        <v>2921</v>
      </c>
      <c r="B10" t="s">
        <v>87</v>
      </c>
      <c r="C10" t="s">
        <v>1174</v>
      </c>
      <c r="D10" t="s">
        <v>368</v>
      </c>
      <c r="E10" t="s">
        <v>10</v>
      </c>
      <c r="F10" t="s">
        <v>613</v>
      </c>
      <c r="G10" t="s">
        <v>792</v>
      </c>
      <c r="H10" t="s">
        <v>592</v>
      </c>
      <c r="I10" t="s">
        <v>486</v>
      </c>
      <c r="J10" t="s">
        <v>793</v>
      </c>
      <c r="K10" s="9">
        <v>44109</v>
      </c>
      <c r="L10" s="7">
        <v>44109</v>
      </c>
      <c r="M10" s="2">
        <v>3</v>
      </c>
      <c r="N10" t="s">
        <v>389</v>
      </c>
      <c r="O10" t="s">
        <v>380</v>
      </c>
      <c r="P10" t="s">
        <v>432</v>
      </c>
      <c r="Q10">
        <v>811</v>
      </c>
      <c r="R10" t="s">
        <v>87</v>
      </c>
      <c r="S10" s="2" t="s">
        <v>3</v>
      </c>
    </row>
    <row r="11" spans="1:20" ht="15" customHeight="1" x14ac:dyDescent="0.25">
      <c r="A11">
        <v>2918</v>
      </c>
      <c r="B11" t="s">
        <v>86</v>
      </c>
      <c r="C11" t="s">
        <v>1175</v>
      </c>
      <c r="D11" t="s">
        <v>368</v>
      </c>
      <c r="E11" t="s">
        <v>10</v>
      </c>
      <c r="F11" t="s">
        <v>613</v>
      </c>
      <c r="G11" t="s">
        <v>848</v>
      </c>
      <c r="H11" t="s">
        <v>592</v>
      </c>
      <c r="I11" t="s">
        <v>504</v>
      </c>
      <c r="J11" t="s">
        <v>849</v>
      </c>
      <c r="K11" s="9">
        <v>44109</v>
      </c>
      <c r="L11" s="7">
        <v>44109</v>
      </c>
      <c r="M11" s="2">
        <v>5</v>
      </c>
      <c r="N11" t="s">
        <v>389</v>
      </c>
      <c r="O11" t="s">
        <v>380</v>
      </c>
      <c r="P11" t="s">
        <v>432</v>
      </c>
      <c r="Q11">
        <v>810</v>
      </c>
      <c r="R11" t="s">
        <v>86</v>
      </c>
      <c r="S11" s="2" t="s">
        <v>3</v>
      </c>
      <c r="T11" t="s">
        <v>3</v>
      </c>
    </row>
    <row r="12" spans="1:20" ht="15" customHeight="1" x14ac:dyDescent="0.25">
      <c r="A12">
        <v>2945</v>
      </c>
      <c r="B12" t="s">
        <v>88</v>
      </c>
      <c r="C12" t="s">
        <v>1176</v>
      </c>
      <c r="D12" t="s">
        <v>368</v>
      </c>
      <c r="E12" t="s">
        <v>10</v>
      </c>
      <c r="F12" t="s">
        <v>613</v>
      </c>
      <c r="G12" t="s">
        <v>991</v>
      </c>
      <c r="H12" t="s">
        <v>450</v>
      </c>
      <c r="I12" t="s">
        <v>529</v>
      </c>
      <c r="J12" t="s">
        <v>992</v>
      </c>
      <c r="L12" s="2">
        <v>0</v>
      </c>
      <c r="M12" s="2">
        <v>3</v>
      </c>
      <c r="N12" t="s">
        <v>389</v>
      </c>
      <c r="O12" t="s">
        <v>380</v>
      </c>
      <c r="P12" t="s">
        <v>432</v>
      </c>
      <c r="Q12">
        <v>849</v>
      </c>
      <c r="R12" t="s">
        <v>88</v>
      </c>
      <c r="S12" s="2" t="s">
        <v>3</v>
      </c>
    </row>
    <row r="13" spans="1:20" ht="15" customHeight="1" x14ac:dyDescent="0.25">
      <c r="A13">
        <v>20989</v>
      </c>
      <c r="B13" t="s">
        <v>220</v>
      </c>
      <c r="C13" t="s">
        <v>1177</v>
      </c>
      <c r="D13" t="s">
        <v>368</v>
      </c>
      <c r="E13" t="s">
        <v>10</v>
      </c>
      <c r="F13" t="s">
        <v>613</v>
      </c>
      <c r="G13" t="s">
        <v>1077</v>
      </c>
      <c r="H13" t="s">
        <v>592</v>
      </c>
      <c r="I13" t="s">
        <v>548</v>
      </c>
      <c r="J13" t="s">
        <v>1078</v>
      </c>
      <c r="L13" s="2">
        <v>0</v>
      </c>
      <c r="M13" s="2">
        <v>5</v>
      </c>
      <c r="N13" t="s">
        <v>389</v>
      </c>
      <c r="O13" t="s">
        <v>380</v>
      </c>
      <c r="P13" t="s">
        <v>432</v>
      </c>
      <c r="Q13">
        <v>728</v>
      </c>
      <c r="R13" t="s">
        <v>221</v>
      </c>
      <c r="S13" s="2" t="s">
        <v>3</v>
      </c>
    </row>
    <row r="14" spans="1:20" ht="15" customHeight="1" x14ac:dyDescent="0.25">
      <c r="A14">
        <v>10332</v>
      </c>
      <c r="B14" t="s">
        <v>141</v>
      </c>
      <c r="C14" t="s">
        <v>1178</v>
      </c>
      <c r="D14" t="s">
        <v>366</v>
      </c>
      <c r="E14" t="s">
        <v>10</v>
      </c>
      <c r="F14" t="s">
        <v>590</v>
      </c>
      <c r="G14" t="s">
        <v>931</v>
      </c>
      <c r="H14" t="s">
        <v>592</v>
      </c>
      <c r="I14" t="s">
        <v>932</v>
      </c>
      <c r="J14" t="s">
        <v>933</v>
      </c>
      <c r="K14" s="9">
        <v>44075</v>
      </c>
      <c r="L14" s="7">
        <v>44075</v>
      </c>
      <c r="M14" s="2">
        <v>3</v>
      </c>
      <c r="N14" t="s">
        <v>389</v>
      </c>
      <c r="O14" t="s">
        <v>380</v>
      </c>
      <c r="P14" t="s">
        <v>432</v>
      </c>
      <c r="Q14">
        <v>756</v>
      </c>
      <c r="R14" t="s">
        <v>141</v>
      </c>
      <c r="S14" s="2" t="s">
        <v>3</v>
      </c>
    </row>
    <row r="15" spans="1:20" ht="15" customHeight="1" x14ac:dyDescent="0.25">
      <c r="A15">
        <v>19715</v>
      </c>
      <c r="B15" t="s">
        <v>199</v>
      </c>
      <c r="C15" t="s">
        <v>1172</v>
      </c>
      <c r="D15" t="s">
        <v>366</v>
      </c>
      <c r="E15" t="s">
        <v>10</v>
      </c>
      <c r="F15" t="s">
        <v>590</v>
      </c>
      <c r="G15" t="s">
        <v>705</v>
      </c>
      <c r="H15" t="s">
        <v>592</v>
      </c>
      <c r="I15" t="s">
        <v>463</v>
      </c>
      <c r="J15" t="s">
        <v>706</v>
      </c>
      <c r="L15" s="2">
        <v>0</v>
      </c>
      <c r="M15" s="2">
        <v>4</v>
      </c>
      <c r="N15" t="s">
        <v>388</v>
      </c>
      <c r="O15" t="s">
        <v>380</v>
      </c>
      <c r="P15" t="s">
        <v>432</v>
      </c>
      <c r="Q15">
        <v>721</v>
      </c>
      <c r="R15" t="s">
        <v>200</v>
      </c>
      <c r="S15" s="2" t="s">
        <v>3</v>
      </c>
    </row>
    <row r="16" spans="1:20" ht="15" customHeight="1" x14ac:dyDescent="0.25">
      <c r="A16">
        <v>1423</v>
      </c>
      <c r="B16" t="s">
        <v>36</v>
      </c>
      <c r="C16" t="s">
        <v>1179</v>
      </c>
      <c r="D16" t="s">
        <v>1163</v>
      </c>
      <c r="E16" t="s">
        <v>10</v>
      </c>
      <c r="F16" t="s">
        <v>590</v>
      </c>
      <c r="G16" t="s">
        <v>766</v>
      </c>
      <c r="H16" t="s">
        <v>592</v>
      </c>
      <c r="I16" t="s">
        <v>480</v>
      </c>
      <c r="J16" t="s">
        <v>767</v>
      </c>
      <c r="L16" s="2">
        <v>0</v>
      </c>
      <c r="M16" s="2">
        <v>5</v>
      </c>
      <c r="N16" t="s">
        <v>388</v>
      </c>
      <c r="O16" t="s">
        <v>380</v>
      </c>
      <c r="P16" t="s">
        <v>428</v>
      </c>
      <c r="Q16">
        <v>612</v>
      </c>
      <c r="R16" t="s">
        <v>37</v>
      </c>
      <c r="S16" s="2" t="s">
        <v>3</v>
      </c>
    </row>
    <row r="17" spans="1:19" ht="15" customHeight="1" x14ac:dyDescent="0.25">
      <c r="A17">
        <v>19777</v>
      </c>
      <c r="B17" t="s">
        <v>201</v>
      </c>
      <c r="C17" t="s">
        <v>1181</v>
      </c>
      <c r="D17" t="s">
        <v>366</v>
      </c>
      <c r="E17" t="s">
        <v>10</v>
      </c>
      <c r="F17" t="s">
        <v>590</v>
      </c>
      <c r="G17" t="s">
        <v>1362</v>
      </c>
      <c r="H17" t="s">
        <v>592</v>
      </c>
      <c r="I17" t="s">
        <v>507</v>
      </c>
      <c r="J17" t="s">
        <v>1394</v>
      </c>
      <c r="L17" s="2">
        <v>0</v>
      </c>
      <c r="M17" s="2">
        <v>3</v>
      </c>
      <c r="N17" t="s">
        <v>388</v>
      </c>
      <c r="O17" t="s">
        <v>380</v>
      </c>
      <c r="P17" t="s">
        <v>428</v>
      </c>
      <c r="Q17">
        <v>297</v>
      </c>
      <c r="R17" t="s">
        <v>201</v>
      </c>
      <c r="S17" s="2" t="s">
        <v>3</v>
      </c>
    </row>
    <row r="18" spans="1:19" ht="15" customHeight="1" x14ac:dyDescent="0.25">
      <c r="A18">
        <v>10333</v>
      </c>
      <c r="B18" t="s">
        <v>143</v>
      </c>
      <c r="C18" t="s">
        <v>1182</v>
      </c>
      <c r="D18" t="s">
        <v>366</v>
      </c>
      <c r="E18" t="s">
        <v>10</v>
      </c>
      <c r="F18" t="s">
        <v>590</v>
      </c>
      <c r="G18" t="s">
        <v>857</v>
      </c>
      <c r="H18" t="s">
        <v>592</v>
      </c>
      <c r="I18" t="s">
        <v>507</v>
      </c>
      <c r="J18" t="s">
        <v>858</v>
      </c>
      <c r="K18" s="9">
        <v>44082</v>
      </c>
      <c r="L18" s="7">
        <v>44082</v>
      </c>
      <c r="M18" s="2">
        <v>5</v>
      </c>
      <c r="N18" t="s">
        <v>389</v>
      </c>
      <c r="O18" t="s">
        <v>380</v>
      </c>
      <c r="P18" t="s">
        <v>428</v>
      </c>
      <c r="Q18">
        <v>809</v>
      </c>
      <c r="R18" t="s">
        <v>143</v>
      </c>
      <c r="S18" s="2" t="s">
        <v>3</v>
      </c>
    </row>
    <row r="19" spans="1:19" ht="15" customHeight="1" x14ac:dyDescent="0.25">
      <c r="A19">
        <v>10650</v>
      </c>
      <c r="B19" t="s">
        <v>1444</v>
      </c>
      <c r="C19" t="s">
        <v>1183</v>
      </c>
      <c r="D19" t="s">
        <v>1163</v>
      </c>
      <c r="E19" t="s">
        <v>10</v>
      </c>
      <c r="F19" t="s">
        <v>590</v>
      </c>
      <c r="G19" t="s">
        <v>961</v>
      </c>
      <c r="H19" t="s">
        <v>592</v>
      </c>
      <c r="I19" t="s">
        <v>523</v>
      </c>
      <c r="J19" t="s">
        <v>962</v>
      </c>
      <c r="L19" s="2">
        <v>0</v>
      </c>
      <c r="M19" s="2">
        <v>5</v>
      </c>
      <c r="N19" t="s">
        <v>388</v>
      </c>
      <c r="O19" t="s">
        <v>380</v>
      </c>
      <c r="P19" t="s">
        <v>432</v>
      </c>
      <c r="Q19">
        <v>413</v>
      </c>
      <c r="R19" t="s">
        <v>153</v>
      </c>
      <c r="S19" s="2" t="s">
        <v>3</v>
      </c>
    </row>
    <row r="20" spans="1:19" ht="15" customHeight="1" x14ac:dyDescent="0.25">
      <c r="A20">
        <v>19709</v>
      </c>
      <c r="B20" t="s">
        <v>194</v>
      </c>
      <c r="C20" t="s">
        <v>1184</v>
      </c>
      <c r="D20" t="s">
        <v>1163</v>
      </c>
      <c r="E20" t="s">
        <v>10</v>
      </c>
      <c r="F20" t="s">
        <v>590</v>
      </c>
      <c r="G20" t="s">
        <v>969</v>
      </c>
      <c r="H20" t="s">
        <v>592</v>
      </c>
      <c r="I20" t="s">
        <v>524</v>
      </c>
      <c r="J20" t="s">
        <v>970</v>
      </c>
      <c r="L20" s="2">
        <v>0</v>
      </c>
      <c r="M20" s="2">
        <v>5</v>
      </c>
      <c r="N20" t="s">
        <v>388</v>
      </c>
      <c r="O20" t="s">
        <v>380</v>
      </c>
      <c r="P20" t="s">
        <v>432</v>
      </c>
      <c r="Q20">
        <v>717</v>
      </c>
      <c r="R20" t="s">
        <v>195</v>
      </c>
      <c r="S20" s="2" t="s">
        <v>3</v>
      </c>
    </row>
    <row r="21" spans="1:19" ht="15" customHeight="1" x14ac:dyDescent="0.25">
      <c r="A21">
        <v>19890</v>
      </c>
      <c r="B21" t="s">
        <v>208</v>
      </c>
      <c r="C21" t="s">
        <v>1172</v>
      </c>
      <c r="D21" t="s">
        <v>366</v>
      </c>
      <c r="E21" t="s">
        <v>10</v>
      </c>
      <c r="F21" t="s">
        <v>590</v>
      </c>
      <c r="G21" t="s">
        <v>1363</v>
      </c>
      <c r="H21" t="s">
        <v>592</v>
      </c>
      <c r="I21" t="s">
        <v>1047</v>
      </c>
      <c r="J21" t="s">
        <v>1048</v>
      </c>
      <c r="L21" s="2">
        <v>0</v>
      </c>
      <c r="M21" s="2">
        <v>4</v>
      </c>
      <c r="N21" t="s">
        <v>388</v>
      </c>
      <c r="O21" t="s">
        <v>381</v>
      </c>
      <c r="P21" t="s">
        <v>381</v>
      </c>
      <c r="Q21">
        <v>709</v>
      </c>
      <c r="R21" t="s">
        <v>209</v>
      </c>
      <c r="S21" s="2" t="s">
        <v>3</v>
      </c>
    </row>
    <row r="22" spans="1:19" ht="15" customHeight="1" x14ac:dyDescent="0.25">
      <c r="A22">
        <v>10201</v>
      </c>
      <c r="B22" t="s">
        <v>133</v>
      </c>
      <c r="C22" t="s">
        <v>1185</v>
      </c>
      <c r="D22" t="s">
        <v>1163</v>
      </c>
      <c r="E22" t="s">
        <v>10</v>
      </c>
      <c r="F22" t="s">
        <v>590</v>
      </c>
      <c r="G22" t="s">
        <v>591</v>
      </c>
      <c r="H22" t="s">
        <v>592</v>
      </c>
      <c r="I22" t="s">
        <v>433</v>
      </c>
      <c r="J22" t="s">
        <v>593</v>
      </c>
      <c r="L22" s="2">
        <v>0</v>
      </c>
      <c r="M22" s="2">
        <v>4</v>
      </c>
      <c r="N22" t="s">
        <v>388</v>
      </c>
      <c r="O22" t="s">
        <v>380</v>
      </c>
      <c r="P22" t="s">
        <v>432</v>
      </c>
      <c r="Q22">
        <v>729</v>
      </c>
      <c r="R22" t="s">
        <v>133</v>
      </c>
      <c r="S22" s="2" t="s">
        <v>3</v>
      </c>
    </row>
    <row r="23" spans="1:19" ht="15" customHeight="1" x14ac:dyDescent="0.25">
      <c r="A23">
        <v>1407</v>
      </c>
      <c r="B23" t="s">
        <v>16</v>
      </c>
      <c r="C23" t="s">
        <v>1186</v>
      </c>
      <c r="D23" t="s">
        <v>366</v>
      </c>
      <c r="E23" t="s">
        <v>10</v>
      </c>
      <c r="F23" t="s">
        <v>590</v>
      </c>
      <c r="G23" t="s">
        <v>653</v>
      </c>
      <c r="H23" t="s">
        <v>592</v>
      </c>
      <c r="I23" t="s">
        <v>446</v>
      </c>
      <c r="J23" t="s">
        <v>654</v>
      </c>
      <c r="L23" s="2">
        <v>0</v>
      </c>
      <c r="M23" s="2">
        <v>4</v>
      </c>
      <c r="N23" t="s">
        <v>388</v>
      </c>
      <c r="O23" t="s">
        <v>380</v>
      </c>
      <c r="P23" t="s">
        <v>432</v>
      </c>
      <c r="Q23">
        <v>636</v>
      </c>
      <c r="R23" t="s">
        <v>17</v>
      </c>
      <c r="S23" s="2" t="s">
        <v>3</v>
      </c>
    </row>
    <row r="24" spans="1:19" ht="15" customHeight="1" x14ac:dyDescent="0.25">
      <c r="A24">
        <v>10600</v>
      </c>
      <c r="B24" t="s">
        <v>144</v>
      </c>
      <c r="C24" t="s">
        <v>1187</v>
      </c>
      <c r="D24" t="s">
        <v>1163</v>
      </c>
      <c r="E24" t="s">
        <v>10</v>
      </c>
      <c r="F24" t="s">
        <v>590</v>
      </c>
      <c r="G24" t="s">
        <v>772</v>
      </c>
      <c r="H24" t="s">
        <v>592</v>
      </c>
      <c r="I24" t="s">
        <v>773</v>
      </c>
      <c r="J24" t="s">
        <v>774</v>
      </c>
      <c r="L24" s="2">
        <v>0</v>
      </c>
      <c r="M24" s="2">
        <v>3</v>
      </c>
      <c r="N24" t="s">
        <v>388</v>
      </c>
      <c r="O24" t="s">
        <v>381</v>
      </c>
      <c r="P24" t="s">
        <v>381</v>
      </c>
      <c r="Q24">
        <v>763</v>
      </c>
      <c r="R24" t="s">
        <v>145</v>
      </c>
      <c r="S24" s="2" t="s">
        <v>3</v>
      </c>
    </row>
    <row r="25" spans="1:19" ht="15" customHeight="1" x14ac:dyDescent="0.25">
      <c r="A25">
        <v>19710</v>
      </c>
      <c r="B25" t="s">
        <v>196</v>
      </c>
      <c r="C25" t="s">
        <v>1188</v>
      </c>
      <c r="D25" t="s">
        <v>1163</v>
      </c>
      <c r="E25" t="s">
        <v>10</v>
      </c>
      <c r="F25" t="s">
        <v>590</v>
      </c>
      <c r="G25" t="s">
        <v>934</v>
      </c>
      <c r="H25" t="s">
        <v>592</v>
      </c>
      <c r="I25" t="s">
        <v>935</v>
      </c>
      <c r="J25" t="s">
        <v>936</v>
      </c>
      <c r="L25" s="2">
        <v>0</v>
      </c>
      <c r="M25" s="2">
        <v>5</v>
      </c>
      <c r="N25" t="s">
        <v>388</v>
      </c>
      <c r="O25" t="s">
        <v>381</v>
      </c>
      <c r="P25" t="s">
        <v>381</v>
      </c>
      <c r="Q25">
        <v>718</v>
      </c>
      <c r="R25" t="s">
        <v>196</v>
      </c>
      <c r="S25" s="2" t="s">
        <v>3</v>
      </c>
    </row>
    <row r="26" spans="1:19" ht="15" customHeight="1" x14ac:dyDescent="0.25">
      <c r="A26">
        <v>1449</v>
      </c>
      <c r="B26" t="s">
        <v>57</v>
      </c>
      <c r="C26" t="s">
        <v>1189</v>
      </c>
      <c r="D26" t="s">
        <v>366</v>
      </c>
      <c r="E26" t="s">
        <v>10</v>
      </c>
      <c r="F26" t="s">
        <v>590</v>
      </c>
      <c r="G26" t="s">
        <v>959</v>
      </c>
      <c r="H26" t="s">
        <v>592</v>
      </c>
      <c r="I26" t="s">
        <v>522</v>
      </c>
      <c r="J26" t="s">
        <v>960</v>
      </c>
      <c r="L26" s="2">
        <v>0</v>
      </c>
      <c r="M26" s="2">
        <v>6</v>
      </c>
      <c r="N26" t="s">
        <v>388</v>
      </c>
      <c r="O26" t="s">
        <v>380</v>
      </c>
      <c r="P26" t="s">
        <v>432</v>
      </c>
      <c r="Q26">
        <v>621</v>
      </c>
      <c r="R26" t="s">
        <v>58</v>
      </c>
      <c r="S26" s="2" t="s">
        <v>3</v>
      </c>
    </row>
    <row r="27" spans="1:19" ht="15" customHeight="1" x14ac:dyDescent="0.25">
      <c r="A27">
        <v>10604</v>
      </c>
      <c r="B27" t="s">
        <v>146</v>
      </c>
      <c r="C27" t="s">
        <v>1163</v>
      </c>
      <c r="D27" t="s">
        <v>1163</v>
      </c>
      <c r="E27" t="s">
        <v>10</v>
      </c>
      <c r="F27" t="s">
        <v>590</v>
      </c>
      <c r="G27" t="s">
        <v>963</v>
      </c>
      <c r="H27" t="s">
        <v>592</v>
      </c>
      <c r="I27" t="s">
        <v>964</v>
      </c>
      <c r="J27" t="s">
        <v>965</v>
      </c>
      <c r="L27" s="2">
        <v>0</v>
      </c>
      <c r="M27" s="2">
        <v>4</v>
      </c>
      <c r="N27" t="s">
        <v>388</v>
      </c>
      <c r="O27" t="s">
        <v>381</v>
      </c>
      <c r="P27" t="s">
        <v>381</v>
      </c>
      <c r="Q27">
        <v>768</v>
      </c>
      <c r="R27" t="s">
        <v>147</v>
      </c>
      <c r="S27" s="2" t="s">
        <v>3</v>
      </c>
    </row>
    <row r="28" spans="1:19" ht="15" customHeight="1" x14ac:dyDescent="0.25">
      <c r="A28">
        <v>10897</v>
      </c>
      <c r="B28" t="s">
        <v>156</v>
      </c>
      <c r="C28" t="s">
        <v>1190</v>
      </c>
      <c r="D28" t="s">
        <v>1163</v>
      </c>
      <c r="E28" t="s">
        <v>10</v>
      </c>
      <c r="F28" t="s">
        <v>590</v>
      </c>
      <c r="G28" t="s">
        <v>979</v>
      </c>
      <c r="H28" t="s">
        <v>592</v>
      </c>
      <c r="I28" t="s">
        <v>526</v>
      </c>
      <c r="J28" t="s">
        <v>980</v>
      </c>
      <c r="L28" s="2">
        <v>0</v>
      </c>
      <c r="M28" s="2">
        <v>4</v>
      </c>
      <c r="N28" t="s">
        <v>388</v>
      </c>
      <c r="O28" t="s">
        <v>380</v>
      </c>
      <c r="P28" t="s">
        <v>432</v>
      </c>
      <c r="Q28">
        <v>734</v>
      </c>
      <c r="R28" t="s">
        <v>156</v>
      </c>
      <c r="S28" s="2" t="s">
        <v>3</v>
      </c>
    </row>
    <row r="29" spans="1:19" ht="15" customHeight="1" x14ac:dyDescent="0.25">
      <c r="A29">
        <v>10330</v>
      </c>
      <c r="B29" t="s">
        <v>1434</v>
      </c>
      <c r="C29" t="s">
        <v>1191</v>
      </c>
      <c r="D29" t="s">
        <v>1163</v>
      </c>
      <c r="E29" t="s">
        <v>10</v>
      </c>
      <c r="F29" t="s">
        <v>590</v>
      </c>
      <c r="G29" t="s">
        <v>986</v>
      </c>
      <c r="H29" t="s">
        <v>592</v>
      </c>
      <c r="I29" t="s">
        <v>528</v>
      </c>
      <c r="J29" t="s">
        <v>987</v>
      </c>
      <c r="K29" s="9">
        <v>44095</v>
      </c>
      <c r="L29" s="7">
        <v>44095</v>
      </c>
      <c r="M29" s="2">
        <v>3</v>
      </c>
      <c r="N29" t="s">
        <v>388</v>
      </c>
      <c r="O29" t="s">
        <v>380</v>
      </c>
      <c r="P29" t="s">
        <v>432</v>
      </c>
      <c r="Q29">
        <v>760</v>
      </c>
      <c r="R29" t="s">
        <v>137</v>
      </c>
      <c r="S29" s="2" t="s">
        <v>3</v>
      </c>
    </row>
    <row r="30" spans="1:19" ht="15" customHeight="1" x14ac:dyDescent="0.25">
      <c r="A30">
        <v>1485</v>
      </c>
      <c r="B30" t="s">
        <v>68</v>
      </c>
      <c r="C30" t="s">
        <v>1192</v>
      </c>
      <c r="D30" t="s">
        <v>1163</v>
      </c>
      <c r="E30" t="s">
        <v>10</v>
      </c>
      <c r="F30" t="s">
        <v>590</v>
      </c>
      <c r="G30" t="s">
        <v>1364</v>
      </c>
      <c r="H30" t="s">
        <v>592</v>
      </c>
      <c r="I30" t="s">
        <v>550</v>
      </c>
      <c r="J30" t="s">
        <v>1395</v>
      </c>
      <c r="L30" s="2">
        <v>0</v>
      </c>
      <c r="M30" s="2">
        <v>5</v>
      </c>
      <c r="N30" t="s">
        <v>388</v>
      </c>
      <c r="O30" t="s">
        <v>380</v>
      </c>
      <c r="P30" t="s">
        <v>432</v>
      </c>
      <c r="Q30">
        <v>190</v>
      </c>
      <c r="R30" t="s">
        <v>69</v>
      </c>
      <c r="S30" s="2" t="s">
        <v>3</v>
      </c>
    </row>
    <row r="31" spans="1:19" ht="15" customHeight="1" x14ac:dyDescent="0.25">
      <c r="A31">
        <v>1487</v>
      </c>
      <c r="B31" t="s">
        <v>70</v>
      </c>
      <c r="C31" t="s">
        <v>1193</v>
      </c>
      <c r="D31" t="s">
        <v>391</v>
      </c>
      <c r="E31" t="s">
        <v>10</v>
      </c>
      <c r="F31" t="s">
        <v>590</v>
      </c>
      <c r="G31" t="s">
        <v>666</v>
      </c>
      <c r="H31" t="s">
        <v>592</v>
      </c>
      <c r="I31" t="s">
        <v>451</v>
      </c>
      <c r="J31" t="s">
        <v>667</v>
      </c>
      <c r="L31" s="2">
        <v>0</v>
      </c>
      <c r="M31" s="2">
        <v>4</v>
      </c>
      <c r="N31" t="s">
        <v>388</v>
      </c>
      <c r="O31" t="s">
        <v>380</v>
      </c>
      <c r="P31" t="s">
        <v>432</v>
      </c>
      <c r="Q31">
        <v>189</v>
      </c>
      <c r="R31" t="s">
        <v>71</v>
      </c>
      <c r="S31" s="2" t="s">
        <v>3</v>
      </c>
    </row>
    <row r="32" spans="1:19" ht="15" customHeight="1" x14ac:dyDescent="0.25">
      <c r="A32">
        <v>1416</v>
      </c>
      <c r="B32" t="s">
        <v>22</v>
      </c>
      <c r="C32" t="s">
        <v>1194</v>
      </c>
      <c r="D32" t="s">
        <v>391</v>
      </c>
      <c r="E32" t="s">
        <v>10</v>
      </c>
      <c r="F32" t="s">
        <v>590</v>
      </c>
      <c r="G32" t="s">
        <v>763</v>
      </c>
      <c r="H32" t="s">
        <v>592</v>
      </c>
      <c r="I32" t="s">
        <v>764</v>
      </c>
      <c r="J32" t="s">
        <v>765</v>
      </c>
      <c r="L32" s="2">
        <v>0</v>
      </c>
      <c r="M32" s="2">
        <v>3</v>
      </c>
      <c r="N32" t="s">
        <v>388</v>
      </c>
      <c r="O32" t="s">
        <v>381</v>
      </c>
      <c r="P32" t="s">
        <v>381</v>
      </c>
      <c r="Q32">
        <v>631</v>
      </c>
      <c r="R32" t="s">
        <v>23</v>
      </c>
      <c r="S32" s="2" t="s">
        <v>3</v>
      </c>
    </row>
    <row r="33" spans="1:19" ht="15" customHeight="1" x14ac:dyDescent="0.25">
      <c r="A33">
        <v>1500</v>
      </c>
      <c r="B33" t="s">
        <v>80</v>
      </c>
      <c r="C33" t="s">
        <v>1195</v>
      </c>
      <c r="D33" t="s">
        <v>391</v>
      </c>
      <c r="E33" t="s">
        <v>10</v>
      </c>
      <c r="F33" t="s">
        <v>590</v>
      </c>
      <c r="G33" t="s">
        <v>868</v>
      </c>
      <c r="H33" t="s">
        <v>869</v>
      </c>
      <c r="I33" t="s">
        <v>431</v>
      </c>
      <c r="J33" t="s">
        <v>870</v>
      </c>
      <c r="L33" s="2">
        <v>0</v>
      </c>
      <c r="M33" s="2">
        <v>5</v>
      </c>
      <c r="N33" t="s">
        <v>388</v>
      </c>
      <c r="O33" t="s">
        <v>381</v>
      </c>
      <c r="P33" t="s">
        <v>381</v>
      </c>
      <c r="Q33">
        <v>500</v>
      </c>
      <c r="R33" t="s">
        <v>81</v>
      </c>
      <c r="S33" s="2" t="s">
        <v>3</v>
      </c>
    </row>
    <row r="34" spans="1:19" ht="15" customHeight="1" x14ac:dyDescent="0.25">
      <c r="A34">
        <v>19778</v>
      </c>
      <c r="B34" t="s">
        <v>202</v>
      </c>
      <c r="C34" t="s">
        <v>294</v>
      </c>
      <c r="D34" t="s">
        <v>391</v>
      </c>
      <c r="E34" t="s">
        <v>10</v>
      </c>
      <c r="F34" t="s">
        <v>590</v>
      </c>
      <c r="G34" t="s">
        <v>874</v>
      </c>
      <c r="H34" t="s">
        <v>875</v>
      </c>
      <c r="I34" t="s">
        <v>431</v>
      </c>
      <c r="J34" t="s">
        <v>876</v>
      </c>
      <c r="L34" s="2">
        <v>0</v>
      </c>
      <c r="M34" s="2">
        <v>10</v>
      </c>
      <c r="N34" t="s">
        <v>388</v>
      </c>
      <c r="O34" t="s">
        <v>381</v>
      </c>
      <c r="P34" t="s">
        <v>381</v>
      </c>
      <c r="Q34">
        <v>303</v>
      </c>
      <c r="R34" t="s">
        <v>203</v>
      </c>
      <c r="S34" s="2" t="s">
        <v>3</v>
      </c>
    </row>
    <row r="35" spans="1:19" ht="15" customHeight="1" x14ac:dyDescent="0.25">
      <c r="A35">
        <v>1424</v>
      </c>
      <c r="B35" t="s">
        <v>38</v>
      </c>
      <c r="C35" t="s">
        <v>1196</v>
      </c>
      <c r="D35" t="s">
        <v>391</v>
      </c>
      <c r="E35" t="s">
        <v>10</v>
      </c>
      <c r="F35" t="s">
        <v>590</v>
      </c>
      <c r="G35" t="s">
        <v>929</v>
      </c>
      <c r="H35" t="s">
        <v>592</v>
      </c>
      <c r="I35" t="s">
        <v>518</v>
      </c>
      <c r="J35" t="s">
        <v>930</v>
      </c>
      <c r="L35" s="2">
        <v>0</v>
      </c>
      <c r="M35" s="2">
        <v>3</v>
      </c>
      <c r="N35" t="s">
        <v>388</v>
      </c>
      <c r="O35" t="s">
        <v>381</v>
      </c>
      <c r="P35" t="s">
        <v>381</v>
      </c>
      <c r="Q35">
        <v>424</v>
      </c>
      <c r="R35" t="s">
        <v>39</v>
      </c>
      <c r="S35" s="2" t="s">
        <v>3</v>
      </c>
    </row>
    <row r="36" spans="1:19" ht="15" customHeight="1" x14ac:dyDescent="0.25">
      <c r="A36">
        <v>1427</v>
      </c>
      <c r="B36" t="s">
        <v>40</v>
      </c>
      <c r="C36" t="s">
        <v>1197</v>
      </c>
      <c r="D36" t="s">
        <v>391</v>
      </c>
      <c r="E36" t="s">
        <v>10</v>
      </c>
      <c r="F36" t="s">
        <v>590</v>
      </c>
      <c r="G36" t="s">
        <v>971</v>
      </c>
      <c r="H36" t="s">
        <v>592</v>
      </c>
      <c r="I36" t="s">
        <v>972</v>
      </c>
      <c r="J36" t="s">
        <v>973</v>
      </c>
      <c r="L36" s="2">
        <v>0</v>
      </c>
      <c r="M36" s="2">
        <v>3</v>
      </c>
      <c r="N36" t="s">
        <v>388</v>
      </c>
      <c r="O36" t="s">
        <v>381</v>
      </c>
      <c r="P36" t="s">
        <v>381</v>
      </c>
      <c r="Q36">
        <v>624</v>
      </c>
      <c r="R36" t="s">
        <v>41</v>
      </c>
      <c r="S36" s="2" t="s">
        <v>3</v>
      </c>
    </row>
    <row r="37" spans="1:19" ht="15" customHeight="1" x14ac:dyDescent="0.25">
      <c r="A37">
        <v>1403</v>
      </c>
      <c r="B37" t="s">
        <v>11</v>
      </c>
      <c r="C37" t="s">
        <v>1198</v>
      </c>
      <c r="D37" t="s">
        <v>391</v>
      </c>
      <c r="E37" t="s">
        <v>10</v>
      </c>
      <c r="F37" t="s">
        <v>590</v>
      </c>
      <c r="G37" t="s">
        <v>1040</v>
      </c>
      <c r="H37" t="s">
        <v>592</v>
      </c>
      <c r="I37" t="s">
        <v>539</v>
      </c>
      <c r="J37" t="s">
        <v>1041</v>
      </c>
      <c r="L37" s="2">
        <v>0</v>
      </c>
      <c r="M37" s="2">
        <v>3</v>
      </c>
      <c r="N37" t="s">
        <v>388</v>
      </c>
      <c r="O37" t="s">
        <v>380</v>
      </c>
      <c r="P37" t="s">
        <v>432</v>
      </c>
      <c r="Q37">
        <v>407</v>
      </c>
      <c r="R37" t="s">
        <v>12</v>
      </c>
      <c r="S37" s="2" t="s">
        <v>3</v>
      </c>
    </row>
    <row r="38" spans="1:19" ht="15" customHeight="1" x14ac:dyDescent="0.25">
      <c r="A38">
        <v>1420</v>
      </c>
      <c r="B38" t="s">
        <v>30</v>
      </c>
      <c r="C38" t="s">
        <v>1199</v>
      </c>
      <c r="D38" t="s">
        <v>391</v>
      </c>
      <c r="E38" t="s">
        <v>10</v>
      </c>
      <c r="F38" t="s">
        <v>590</v>
      </c>
      <c r="G38" t="s">
        <v>1365</v>
      </c>
      <c r="H38" t="s">
        <v>592</v>
      </c>
      <c r="I38" t="s">
        <v>544</v>
      </c>
      <c r="J38" t="s">
        <v>1393</v>
      </c>
      <c r="L38" s="2">
        <v>0</v>
      </c>
      <c r="M38" s="2">
        <v>5</v>
      </c>
      <c r="N38" t="s">
        <v>388</v>
      </c>
      <c r="O38" t="s">
        <v>380</v>
      </c>
      <c r="P38" t="s">
        <v>432</v>
      </c>
      <c r="Q38">
        <v>614</v>
      </c>
      <c r="R38" t="s">
        <v>31</v>
      </c>
      <c r="S38" s="2" t="s">
        <v>3</v>
      </c>
    </row>
    <row r="39" spans="1:19" ht="15" customHeight="1" x14ac:dyDescent="0.25">
      <c r="A39">
        <v>1497</v>
      </c>
      <c r="B39" t="s">
        <v>78</v>
      </c>
      <c r="C39" t="s">
        <v>1200</v>
      </c>
      <c r="D39" t="s">
        <v>391</v>
      </c>
      <c r="E39" t="s">
        <v>10</v>
      </c>
      <c r="F39" t="s">
        <v>590</v>
      </c>
      <c r="G39" t="s">
        <v>1065</v>
      </c>
      <c r="H39" t="s">
        <v>592</v>
      </c>
      <c r="I39" t="s">
        <v>1066</v>
      </c>
      <c r="J39" t="s">
        <v>1067</v>
      </c>
      <c r="L39" s="2">
        <v>0</v>
      </c>
      <c r="M39" s="2">
        <v>3</v>
      </c>
      <c r="N39" t="s">
        <v>389</v>
      </c>
      <c r="O39" t="s">
        <v>381</v>
      </c>
      <c r="P39" t="s">
        <v>381</v>
      </c>
      <c r="Q39">
        <v>723</v>
      </c>
      <c r="R39" t="s">
        <v>78</v>
      </c>
      <c r="S39" s="2" t="s">
        <v>3</v>
      </c>
    </row>
    <row r="40" spans="1:19" ht="15" customHeight="1" x14ac:dyDescent="0.25">
      <c r="A40">
        <v>1496</v>
      </c>
      <c r="B40" t="s">
        <v>76</v>
      </c>
      <c r="C40" t="s">
        <v>1201</v>
      </c>
      <c r="D40" t="s">
        <v>391</v>
      </c>
      <c r="E40" t="s">
        <v>10</v>
      </c>
      <c r="F40" t="s">
        <v>590</v>
      </c>
      <c r="G40" t="s">
        <v>1068</v>
      </c>
      <c r="H40" t="s">
        <v>592</v>
      </c>
      <c r="I40" t="s">
        <v>1069</v>
      </c>
      <c r="J40" t="s">
        <v>1070</v>
      </c>
      <c r="L40" s="2">
        <v>0</v>
      </c>
      <c r="M40" s="2">
        <v>5</v>
      </c>
      <c r="N40" t="s">
        <v>388</v>
      </c>
      <c r="O40" t="s">
        <v>381</v>
      </c>
      <c r="P40" t="s">
        <v>381</v>
      </c>
      <c r="Q40">
        <v>724</v>
      </c>
      <c r="R40" t="s">
        <v>77</v>
      </c>
      <c r="S40" s="2" t="s">
        <v>3</v>
      </c>
    </row>
    <row r="41" spans="1:19" ht="15.75" customHeight="1" x14ac:dyDescent="0.25">
      <c r="A41">
        <v>19714</v>
      </c>
      <c r="B41" t="s">
        <v>197</v>
      </c>
      <c r="C41" t="s">
        <v>1202</v>
      </c>
      <c r="D41" t="s">
        <v>391</v>
      </c>
      <c r="E41" t="s">
        <v>10</v>
      </c>
      <c r="F41" t="s">
        <v>590</v>
      </c>
      <c r="G41" t="s">
        <v>1071</v>
      </c>
      <c r="H41" t="s">
        <v>592</v>
      </c>
      <c r="I41" t="s">
        <v>1072</v>
      </c>
      <c r="J41" t="s">
        <v>1073</v>
      </c>
      <c r="L41" s="2">
        <v>0</v>
      </c>
      <c r="M41" s="2">
        <v>3</v>
      </c>
      <c r="N41" t="s">
        <v>388</v>
      </c>
      <c r="O41" t="s">
        <v>381</v>
      </c>
      <c r="P41" t="s">
        <v>381</v>
      </c>
      <c r="Q41">
        <v>720</v>
      </c>
      <c r="R41" t="s">
        <v>198</v>
      </c>
      <c r="S41" s="2" t="s">
        <v>3</v>
      </c>
    </row>
    <row r="42" spans="1:19" ht="15" customHeight="1" x14ac:dyDescent="0.25">
      <c r="A42">
        <v>1402</v>
      </c>
      <c r="B42" t="s">
        <v>8</v>
      </c>
      <c r="C42" t="s">
        <v>373</v>
      </c>
      <c r="D42" t="s">
        <v>395</v>
      </c>
      <c r="E42" t="s">
        <v>10</v>
      </c>
      <c r="F42" t="s">
        <v>590</v>
      </c>
      <c r="G42" t="s">
        <v>676</v>
      </c>
      <c r="H42" t="s">
        <v>592</v>
      </c>
      <c r="I42" t="s">
        <v>455</v>
      </c>
      <c r="J42" t="s">
        <v>677</v>
      </c>
      <c r="L42" s="2">
        <v>0</v>
      </c>
      <c r="M42" s="2">
        <v>6</v>
      </c>
      <c r="N42" t="s">
        <v>388</v>
      </c>
      <c r="O42" t="s">
        <v>380</v>
      </c>
      <c r="P42" t="s">
        <v>428</v>
      </c>
      <c r="Q42">
        <v>402</v>
      </c>
      <c r="R42" t="s">
        <v>9</v>
      </c>
      <c r="S42" s="2" t="s">
        <v>3</v>
      </c>
    </row>
    <row r="43" spans="1:19" ht="15" customHeight="1" x14ac:dyDescent="0.25">
      <c r="A43">
        <v>1458</v>
      </c>
      <c r="B43" t="s">
        <v>61</v>
      </c>
      <c r="C43" t="s">
        <v>1203</v>
      </c>
      <c r="D43" t="s">
        <v>395</v>
      </c>
      <c r="E43" t="s">
        <v>10</v>
      </c>
      <c r="F43" t="s">
        <v>590</v>
      </c>
      <c r="G43" t="s">
        <v>678</v>
      </c>
      <c r="H43" t="s">
        <v>679</v>
      </c>
      <c r="I43" t="s">
        <v>455</v>
      </c>
      <c r="J43" t="s">
        <v>680</v>
      </c>
      <c r="L43" s="2">
        <v>0</v>
      </c>
      <c r="M43" s="2">
        <v>4</v>
      </c>
      <c r="N43" t="s">
        <v>388</v>
      </c>
      <c r="O43" t="s">
        <v>380</v>
      </c>
      <c r="P43" t="s">
        <v>428</v>
      </c>
      <c r="Q43">
        <v>284</v>
      </c>
      <c r="R43" t="s">
        <v>62</v>
      </c>
      <c r="S43" s="2" t="s">
        <v>3</v>
      </c>
    </row>
    <row r="44" spans="1:19" ht="15" customHeight="1" x14ac:dyDescent="0.25">
      <c r="A44">
        <v>1421</v>
      </c>
      <c r="B44" t="s">
        <v>32</v>
      </c>
      <c r="C44" t="s">
        <v>1204</v>
      </c>
      <c r="D44" t="s">
        <v>395</v>
      </c>
      <c r="E44" t="s">
        <v>10</v>
      </c>
      <c r="F44" t="s">
        <v>590</v>
      </c>
      <c r="G44" t="s">
        <v>722</v>
      </c>
      <c r="H44" t="s">
        <v>592</v>
      </c>
      <c r="I44" t="s">
        <v>469</v>
      </c>
      <c r="J44" t="s">
        <v>723</v>
      </c>
      <c r="L44" s="2">
        <v>0</v>
      </c>
      <c r="M44" s="2">
        <v>7</v>
      </c>
      <c r="N44" t="s">
        <v>388</v>
      </c>
      <c r="O44" t="s">
        <v>380</v>
      </c>
      <c r="P44" t="s">
        <v>432</v>
      </c>
      <c r="Q44">
        <v>630</v>
      </c>
      <c r="R44" t="s">
        <v>33</v>
      </c>
      <c r="S44" s="2" t="s">
        <v>3</v>
      </c>
    </row>
    <row r="45" spans="1:19" ht="15" customHeight="1" x14ac:dyDescent="0.25">
      <c r="A45">
        <v>1476</v>
      </c>
      <c r="B45" t="s">
        <v>63</v>
      </c>
      <c r="C45" t="s">
        <v>1205</v>
      </c>
      <c r="D45" t="s">
        <v>395</v>
      </c>
      <c r="E45" t="s">
        <v>10</v>
      </c>
      <c r="F45" t="s">
        <v>590</v>
      </c>
      <c r="G45" t="s">
        <v>838</v>
      </c>
      <c r="H45" t="s">
        <v>592</v>
      </c>
      <c r="I45" t="s">
        <v>500</v>
      </c>
      <c r="J45" t="s">
        <v>839</v>
      </c>
      <c r="L45" s="2">
        <v>0</v>
      </c>
      <c r="M45" s="2">
        <v>6</v>
      </c>
      <c r="N45" t="s">
        <v>388</v>
      </c>
      <c r="O45" t="s">
        <v>380</v>
      </c>
      <c r="P45" t="s">
        <v>428</v>
      </c>
      <c r="Q45">
        <v>163</v>
      </c>
      <c r="R45" t="s">
        <v>64</v>
      </c>
      <c r="S45" s="2" t="s">
        <v>3</v>
      </c>
    </row>
    <row r="46" spans="1:19" ht="15" customHeight="1" x14ac:dyDescent="0.25">
      <c r="A46">
        <v>10678</v>
      </c>
      <c r="B46" t="s">
        <v>1438</v>
      </c>
      <c r="C46" t="s">
        <v>1206</v>
      </c>
      <c r="D46" t="s">
        <v>395</v>
      </c>
      <c r="E46" t="s">
        <v>10</v>
      </c>
      <c r="F46" t="s">
        <v>590</v>
      </c>
      <c r="G46" t="s">
        <v>840</v>
      </c>
      <c r="H46" t="s">
        <v>592</v>
      </c>
      <c r="I46" t="s">
        <v>500</v>
      </c>
      <c r="J46" t="s">
        <v>841</v>
      </c>
      <c r="L46" s="2">
        <v>0</v>
      </c>
      <c r="M46" s="2">
        <v>5</v>
      </c>
      <c r="N46" t="s">
        <v>388</v>
      </c>
      <c r="O46" t="s">
        <v>380</v>
      </c>
      <c r="P46" t="s">
        <v>428</v>
      </c>
      <c r="Q46">
        <v>780</v>
      </c>
      <c r="R46" t="s">
        <v>155</v>
      </c>
      <c r="S46" s="2" t="s">
        <v>3</v>
      </c>
    </row>
    <row r="47" spans="1:19" ht="15" customHeight="1" x14ac:dyDescent="0.25">
      <c r="A47">
        <v>1417</v>
      </c>
      <c r="B47" t="s">
        <v>24</v>
      </c>
      <c r="C47" t="s">
        <v>1207</v>
      </c>
      <c r="D47" t="s">
        <v>395</v>
      </c>
      <c r="E47" t="s">
        <v>10</v>
      </c>
      <c r="F47" t="s">
        <v>590</v>
      </c>
      <c r="G47" t="s">
        <v>1001</v>
      </c>
      <c r="H47" t="s">
        <v>592</v>
      </c>
      <c r="I47" t="s">
        <v>534</v>
      </c>
      <c r="J47" t="s">
        <v>1002</v>
      </c>
      <c r="L47" s="2">
        <v>0</v>
      </c>
      <c r="M47" s="2">
        <v>5</v>
      </c>
      <c r="N47" t="s">
        <v>388</v>
      </c>
      <c r="O47" t="s">
        <v>380</v>
      </c>
      <c r="P47" t="s">
        <v>428</v>
      </c>
      <c r="Q47">
        <v>417</v>
      </c>
      <c r="R47" t="s">
        <v>25</v>
      </c>
      <c r="S47" s="2" t="s">
        <v>3</v>
      </c>
    </row>
    <row r="48" spans="1:19" ht="15" customHeight="1" x14ac:dyDescent="0.25">
      <c r="A48">
        <v>10627</v>
      </c>
      <c r="B48" t="s">
        <v>150</v>
      </c>
      <c r="C48" t="s">
        <v>1208</v>
      </c>
      <c r="D48" t="s">
        <v>395</v>
      </c>
      <c r="E48" t="s">
        <v>10</v>
      </c>
      <c r="F48" t="s">
        <v>590</v>
      </c>
      <c r="G48" t="s">
        <v>1003</v>
      </c>
      <c r="H48" t="s">
        <v>592</v>
      </c>
      <c r="I48" t="s">
        <v>534</v>
      </c>
      <c r="J48" t="s">
        <v>1004</v>
      </c>
      <c r="L48" s="2">
        <v>0</v>
      </c>
      <c r="M48" s="2">
        <v>5</v>
      </c>
      <c r="N48" t="s">
        <v>388</v>
      </c>
      <c r="O48" t="s">
        <v>380</v>
      </c>
      <c r="P48" t="s">
        <v>428</v>
      </c>
      <c r="Q48">
        <v>774</v>
      </c>
      <c r="R48" t="s">
        <v>151</v>
      </c>
      <c r="S48" s="2" t="s">
        <v>3</v>
      </c>
    </row>
    <row r="49" spans="1:19" ht="15" customHeight="1" x14ac:dyDescent="0.25">
      <c r="A49">
        <v>1418</v>
      </c>
      <c r="B49" t="s">
        <v>26</v>
      </c>
      <c r="C49" t="s">
        <v>1209</v>
      </c>
      <c r="D49" t="s">
        <v>395</v>
      </c>
      <c r="E49" t="s">
        <v>10</v>
      </c>
      <c r="F49" t="s">
        <v>590</v>
      </c>
      <c r="G49" t="s">
        <v>1366</v>
      </c>
      <c r="H49" t="s">
        <v>592</v>
      </c>
      <c r="I49" t="s">
        <v>540</v>
      </c>
      <c r="J49" t="s">
        <v>1042</v>
      </c>
      <c r="L49" s="2">
        <v>0</v>
      </c>
      <c r="M49" s="2">
        <v>6</v>
      </c>
      <c r="N49" t="s">
        <v>388</v>
      </c>
      <c r="O49" t="s">
        <v>380</v>
      </c>
      <c r="P49" t="s">
        <v>428</v>
      </c>
      <c r="Q49">
        <v>418</v>
      </c>
      <c r="R49" t="s">
        <v>27</v>
      </c>
      <c r="S49" s="2" t="s">
        <v>3</v>
      </c>
    </row>
    <row r="50" spans="1:19" ht="15" customHeight="1" x14ac:dyDescent="0.25">
      <c r="A50">
        <v>1419</v>
      </c>
      <c r="B50" t="s">
        <v>28</v>
      </c>
      <c r="C50" t="s">
        <v>1210</v>
      </c>
      <c r="D50" t="s">
        <v>395</v>
      </c>
      <c r="E50" t="s">
        <v>10</v>
      </c>
      <c r="F50" t="s">
        <v>590</v>
      </c>
      <c r="G50" t="s">
        <v>1043</v>
      </c>
      <c r="H50" t="s">
        <v>592</v>
      </c>
      <c r="I50" t="s">
        <v>540</v>
      </c>
      <c r="J50" t="s">
        <v>1044</v>
      </c>
      <c r="L50" s="2">
        <v>0</v>
      </c>
      <c r="M50" s="2">
        <v>5</v>
      </c>
      <c r="N50" t="s">
        <v>388</v>
      </c>
      <c r="O50" t="s">
        <v>380</v>
      </c>
      <c r="P50" t="s">
        <v>428</v>
      </c>
      <c r="Q50">
        <v>730</v>
      </c>
      <c r="R50" t="s">
        <v>29</v>
      </c>
      <c r="S50" s="2" t="s">
        <v>3</v>
      </c>
    </row>
    <row r="51" spans="1:19" ht="15" customHeight="1" x14ac:dyDescent="0.25">
      <c r="A51">
        <v>600076</v>
      </c>
      <c r="B51" t="s">
        <v>343</v>
      </c>
      <c r="C51" t="s">
        <v>1211</v>
      </c>
      <c r="D51" t="s">
        <v>1216</v>
      </c>
      <c r="E51" t="s">
        <v>6</v>
      </c>
      <c r="F51" t="s">
        <v>616</v>
      </c>
      <c r="G51" t="s">
        <v>1367</v>
      </c>
      <c r="H51" t="s">
        <v>592</v>
      </c>
      <c r="I51" t="s">
        <v>715</v>
      </c>
      <c r="J51" t="s">
        <v>716</v>
      </c>
      <c r="K51" s="9">
        <v>44648</v>
      </c>
      <c r="L51" s="7">
        <v>44648</v>
      </c>
      <c r="M51" s="2">
        <v>5</v>
      </c>
      <c r="N51" t="s">
        <v>388</v>
      </c>
      <c r="O51" t="s">
        <v>381</v>
      </c>
      <c r="P51" t="s">
        <v>381</v>
      </c>
      <c r="Q51">
        <v>468</v>
      </c>
      <c r="R51" t="s">
        <v>343</v>
      </c>
      <c r="S51" s="2" t="s">
        <v>3</v>
      </c>
    </row>
    <row r="52" spans="1:19" ht="15" customHeight="1" x14ac:dyDescent="0.25">
      <c r="A52">
        <v>600075</v>
      </c>
      <c r="B52" t="s">
        <v>342</v>
      </c>
      <c r="C52" t="s">
        <v>1212</v>
      </c>
      <c r="D52" t="s">
        <v>1216</v>
      </c>
      <c r="E52" t="s">
        <v>6</v>
      </c>
      <c r="F52" t="s">
        <v>616</v>
      </c>
      <c r="G52" t="s">
        <v>817</v>
      </c>
      <c r="H52" t="s">
        <v>592</v>
      </c>
      <c r="I52" t="s">
        <v>818</v>
      </c>
      <c r="J52" t="s">
        <v>819</v>
      </c>
      <c r="K52" s="9">
        <v>44662</v>
      </c>
      <c r="L52" s="7">
        <v>44662</v>
      </c>
      <c r="M52" s="2">
        <v>4</v>
      </c>
      <c r="N52" t="s">
        <v>388</v>
      </c>
      <c r="O52" t="s">
        <v>381</v>
      </c>
      <c r="P52" t="s">
        <v>381</v>
      </c>
      <c r="Q52">
        <v>466</v>
      </c>
      <c r="R52" t="s">
        <v>342</v>
      </c>
      <c r="S52" s="2" t="s">
        <v>3</v>
      </c>
    </row>
    <row r="53" spans="1:19" ht="15" customHeight="1" x14ac:dyDescent="0.25">
      <c r="A53">
        <v>600080</v>
      </c>
      <c r="B53" t="s">
        <v>347</v>
      </c>
      <c r="C53" t="s">
        <v>1213</v>
      </c>
      <c r="D53" t="s">
        <v>397</v>
      </c>
      <c r="E53" t="s">
        <v>6</v>
      </c>
      <c r="F53" t="s">
        <v>616</v>
      </c>
      <c r="G53" t="s">
        <v>820</v>
      </c>
      <c r="H53" t="s">
        <v>592</v>
      </c>
      <c r="I53" t="s">
        <v>821</v>
      </c>
      <c r="J53" t="s">
        <v>822</v>
      </c>
      <c r="K53" s="9">
        <v>44655</v>
      </c>
      <c r="L53" s="7">
        <v>44655</v>
      </c>
      <c r="M53" s="2">
        <v>5</v>
      </c>
      <c r="N53" t="s">
        <v>388</v>
      </c>
      <c r="O53" t="s">
        <v>381</v>
      </c>
      <c r="P53" t="s">
        <v>381</v>
      </c>
      <c r="Q53">
        <v>886</v>
      </c>
      <c r="R53" t="s">
        <v>325</v>
      </c>
      <c r="S53" s="2" t="s">
        <v>3</v>
      </c>
    </row>
    <row r="54" spans="1:19" ht="15" customHeight="1" x14ac:dyDescent="0.25">
      <c r="A54">
        <v>5503</v>
      </c>
      <c r="B54" t="s">
        <v>104</v>
      </c>
      <c r="C54" t="s">
        <v>1214</v>
      </c>
      <c r="D54" t="s">
        <v>1216</v>
      </c>
      <c r="E54" t="s">
        <v>6</v>
      </c>
      <c r="F54" t="s">
        <v>616</v>
      </c>
      <c r="G54" t="s">
        <v>1368</v>
      </c>
      <c r="H54" t="s">
        <v>902</v>
      </c>
      <c r="I54" t="s">
        <v>511</v>
      </c>
      <c r="J54" t="s">
        <v>903</v>
      </c>
      <c r="L54" s="2">
        <v>0</v>
      </c>
      <c r="M54" s="2">
        <v>3</v>
      </c>
      <c r="N54" t="s">
        <v>388</v>
      </c>
      <c r="O54" t="s">
        <v>380</v>
      </c>
      <c r="P54" t="s">
        <v>432</v>
      </c>
      <c r="Q54">
        <v>81</v>
      </c>
      <c r="R54" t="s">
        <v>105</v>
      </c>
      <c r="S54" s="2" t="s">
        <v>3</v>
      </c>
    </row>
    <row r="55" spans="1:19" ht="15" customHeight="1" x14ac:dyDescent="0.25">
      <c r="A55">
        <v>600077</v>
      </c>
      <c r="B55" t="s">
        <v>344</v>
      </c>
      <c r="C55" t="s">
        <v>1215</v>
      </c>
      <c r="D55" t="s">
        <v>1216</v>
      </c>
      <c r="E55" t="s">
        <v>6</v>
      </c>
      <c r="F55" t="s">
        <v>616</v>
      </c>
      <c r="G55" t="s">
        <v>966</v>
      </c>
      <c r="H55" t="s">
        <v>592</v>
      </c>
      <c r="I55" t="s">
        <v>967</v>
      </c>
      <c r="J55" t="s">
        <v>968</v>
      </c>
      <c r="K55" s="9">
        <v>44677</v>
      </c>
      <c r="L55" s="7">
        <v>44677</v>
      </c>
      <c r="M55" s="2">
        <v>6</v>
      </c>
      <c r="N55" t="s">
        <v>388</v>
      </c>
      <c r="O55" t="s">
        <v>381</v>
      </c>
      <c r="P55" t="s">
        <v>381</v>
      </c>
      <c r="Q55">
        <v>893</v>
      </c>
      <c r="R55" t="s">
        <v>344</v>
      </c>
      <c r="S55" s="2" t="s">
        <v>3</v>
      </c>
    </row>
    <row r="56" spans="1:19" ht="15" customHeight="1" x14ac:dyDescent="0.25">
      <c r="A56">
        <v>50731</v>
      </c>
      <c r="B56" t="s">
        <v>267</v>
      </c>
      <c r="C56" t="s">
        <v>1216</v>
      </c>
      <c r="D56" t="s">
        <v>1216</v>
      </c>
      <c r="E56" t="s">
        <v>6</v>
      </c>
      <c r="F56" t="s">
        <v>616</v>
      </c>
      <c r="G56" t="s">
        <v>974</v>
      </c>
      <c r="H56" t="s">
        <v>592</v>
      </c>
      <c r="I56" t="s">
        <v>525</v>
      </c>
      <c r="J56" t="s">
        <v>975</v>
      </c>
      <c r="L56" s="2">
        <v>0</v>
      </c>
      <c r="M56" s="2">
        <v>5</v>
      </c>
      <c r="N56" t="s">
        <v>388</v>
      </c>
      <c r="O56" t="s">
        <v>380</v>
      </c>
      <c r="P56" t="s">
        <v>432</v>
      </c>
      <c r="Q56">
        <v>291</v>
      </c>
      <c r="R56" t="s">
        <v>268</v>
      </c>
      <c r="S56" s="2" t="s">
        <v>3</v>
      </c>
    </row>
    <row r="57" spans="1:19" ht="15" customHeight="1" x14ac:dyDescent="0.25">
      <c r="A57">
        <v>600078</v>
      </c>
      <c r="B57" t="s">
        <v>345</v>
      </c>
      <c r="C57" t="s">
        <v>1217</v>
      </c>
      <c r="D57" t="s">
        <v>397</v>
      </c>
      <c r="E57" t="s">
        <v>6</v>
      </c>
      <c r="F57" t="s">
        <v>616</v>
      </c>
      <c r="G57" t="s">
        <v>981</v>
      </c>
      <c r="H57" t="s">
        <v>592</v>
      </c>
      <c r="I57" t="s">
        <v>982</v>
      </c>
      <c r="J57" t="s">
        <v>983</v>
      </c>
      <c r="K57" s="9">
        <v>44677</v>
      </c>
      <c r="L57" s="7">
        <v>44677</v>
      </c>
      <c r="M57" s="2">
        <v>4</v>
      </c>
      <c r="N57" t="s">
        <v>388</v>
      </c>
      <c r="O57" t="s">
        <v>381</v>
      </c>
      <c r="P57" t="s">
        <v>381</v>
      </c>
      <c r="Q57">
        <v>467</v>
      </c>
      <c r="R57" t="s">
        <v>345</v>
      </c>
      <c r="S57" s="2" t="s">
        <v>3</v>
      </c>
    </row>
    <row r="58" spans="1:19" ht="15" customHeight="1" x14ac:dyDescent="0.25">
      <c r="A58">
        <v>50400</v>
      </c>
      <c r="B58" t="s">
        <v>259</v>
      </c>
      <c r="C58" t="s">
        <v>1218</v>
      </c>
      <c r="D58" t="s">
        <v>1216</v>
      </c>
      <c r="E58" t="s">
        <v>6</v>
      </c>
      <c r="F58" t="s">
        <v>616</v>
      </c>
      <c r="G58" t="s">
        <v>1038</v>
      </c>
      <c r="H58" t="s">
        <v>592</v>
      </c>
      <c r="I58" t="s">
        <v>538</v>
      </c>
      <c r="J58" t="s">
        <v>1039</v>
      </c>
      <c r="L58" s="2">
        <v>0</v>
      </c>
      <c r="M58" s="2">
        <v>7</v>
      </c>
      <c r="N58" t="s">
        <v>388</v>
      </c>
      <c r="O58" t="s">
        <v>380</v>
      </c>
      <c r="P58" t="s">
        <v>432</v>
      </c>
      <c r="Q58">
        <v>275</v>
      </c>
      <c r="R58" t="s">
        <v>260</v>
      </c>
      <c r="S58" s="2" t="s">
        <v>3</v>
      </c>
    </row>
    <row r="59" spans="1:19" ht="15" customHeight="1" x14ac:dyDescent="0.25">
      <c r="A59">
        <v>600064</v>
      </c>
      <c r="B59" t="s">
        <v>340</v>
      </c>
      <c r="C59" t="s">
        <v>1172</v>
      </c>
      <c r="D59" t="s">
        <v>1245</v>
      </c>
      <c r="E59" t="s">
        <v>6</v>
      </c>
      <c r="F59" t="s">
        <v>616</v>
      </c>
      <c r="G59" t="s">
        <v>1051</v>
      </c>
      <c r="H59" t="s">
        <v>592</v>
      </c>
      <c r="I59" t="s">
        <v>543</v>
      </c>
      <c r="J59" t="s">
        <v>1052</v>
      </c>
      <c r="K59" s="9">
        <v>44544</v>
      </c>
      <c r="L59" s="7">
        <v>44544</v>
      </c>
      <c r="M59" s="2">
        <v>5</v>
      </c>
      <c r="N59" t="s">
        <v>388</v>
      </c>
      <c r="O59" t="s">
        <v>380</v>
      </c>
      <c r="P59" t="s">
        <v>432</v>
      </c>
      <c r="Q59">
        <v>889</v>
      </c>
      <c r="R59" t="s">
        <v>341</v>
      </c>
      <c r="S59" s="2" t="s">
        <v>3</v>
      </c>
    </row>
    <row r="60" spans="1:19" ht="15" customHeight="1" x14ac:dyDescent="0.25">
      <c r="A60">
        <v>50809</v>
      </c>
      <c r="B60" t="s">
        <v>273</v>
      </c>
      <c r="C60" t="s">
        <v>1219</v>
      </c>
      <c r="D60" t="s">
        <v>1279</v>
      </c>
      <c r="E60" t="s">
        <v>6</v>
      </c>
      <c r="F60" t="s">
        <v>616</v>
      </c>
      <c r="G60" t="s">
        <v>617</v>
      </c>
      <c r="H60" t="s">
        <v>592</v>
      </c>
      <c r="I60" t="s">
        <v>437</v>
      </c>
      <c r="J60" t="s">
        <v>618</v>
      </c>
      <c r="L60" s="2">
        <v>0</v>
      </c>
      <c r="M60" s="2">
        <v>5</v>
      </c>
      <c r="N60" t="s">
        <v>389</v>
      </c>
      <c r="O60" t="s">
        <v>380</v>
      </c>
      <c r="P60" t="s">
        <v>432</v>
      </c>
      <c r="Q60">
        <v>308</v>
      </c>
      <c r="R60" t="s">
        <v>273</v>
      </c>
      <c r="S60" s="2" t="s">
        <v>3</v>
      </c>
    </row>
    <row r="61" spans="1:19" ht="15" customHeight="1" x14ac:dyDescent="0.25">
      <c r="A61">
        <v>54469</v>
      </c>
      <c r="B61" t="s">
        <v>374</v>
      </c>
      <c r="C61" t="s">
        <v>1220</v>
      </c>
      <c r="D61" t="s">
        <v>1220</v>
      </c>
      <c r="E61" t="s">
        <v>6</v>
      </c>
      <c r="F61" t="s">
        <v>616</v>
      </c>
      <c r="G61" t="s">
        <v>663</v>
      </c>
      <c r="H61" t="s">
        <v>664</v>
      </c>
      <c r="I61" t="s">
        <v>450</v>
      </c>
      <c r="J61" t="s">
        <v>665</v>
      </c>
      <c r="K61" s="9">
        <v>44655</v>
      </c>
      <c r="L61" s="7">
        <v>44655</v>
      </c>
      <c r="M61" s="2">
        <v>3</v>
      </c>
      <c r="N61" t="s">
        <v>388</v>
      </c>
      <c r="O61" t="s">
        <v>381</v>
      </c>
      <c r="P61" t="s">
        <v>381</v>
      </c>
      <c r="Q61">
        <v>483</v>
      </c>
      <c r="R61" t="s">
        <v>390</v>
      </c>
      <c r="S61" s="2" t="s">
        <v>3</v>
      </c>
    </row>
    <row r="62" spans="1:19" ht="15" customHeight="1" x14ac:dyDescent="0.25">
      <c r="A62">
        <v>53556</v>
      </c>
      <c r="B62" t="s">
        <v>279</v>
      </c>
      <c r="C62" t="s">
        <v>1221</v>
      </c>
      <c r="D62" t="s">
        <v>1279</v>
      </c>
      <c r="E62" t="s">
        <v>6</v>
      </c>
      <c r="F62" t="s">
        <v>616</v>
      </c>
      <c r="G62" t="s">
        <v>627</v>
      </c>
      <c r="H62" t="s">
        <v>592</v>
      </c>
      <c r="I62" t="s">
        <v>441</v>
      </c>
      <c r="J62" t="s">
        <v>628</v>
      </c>
      <c r="L62" s="2">
        <v>0</v>
      </c>
      <c r="M62" s="2">
        <v>6</v>
      </c>
      <c r="N62" t="s">
        <v>388</v>
      </c>
      <c r="O62" t="s">
        <v>380</v>
      </c>
      <c r="P62" t="s">
        <v>432</v>
      </c>
      <c r="Q62">
        <v>197</v>
      </c>
      <c r="R62" t="s">
        <v>279</v>
      </c>
      <c r="S62" s="2" t="s">
        <v>3</v>
      </c>
    </row>
    <row r="63" spans="1:19" ht="15" customHeight="1" x14ac:dyDescent="0.25">
      <c r="A63">
        <v>5502</v>
      </c>
      <c r="B63" t="s">
        <v>102</v>
      </c>
      <c r="C63" t="s">
        <v>1172</v>
      </c>
      <c r="D63" t="s">
        <v>1220</v>
      </c>
      <c r="E63" t="s">
        <v>6</v>
      </c>
      <c r="F63" t="s">
        <v>616</v>
      </c>
      <c r="G63" t="s">
        <v>661</v>
      </c>
      <c r="H63" t="s">
        <v>592</v>
      </c>
      <c r="I63" t="s">
        <v>450</v>
      </c>
      <c r="J63" t="s">
        <v>662</v>
      </c>
      <c r="L63" s="2">
        <v>0</v>
      </c>
      <c r="M63" s="2">
        <v>5</v>
      </c>
      <c r="N63" t="s">
        <v>389</v>
      </c>
      <c r="O63" t="s">
        <v>380</v>
      </c>
      <c r="P63" t="s">
        <v>432</v>
      </c>
      <c r="Q63">
        <v>45</v>
      </c>
      <c r="R63" t="s">
        <v>103</v>
      </c>
      <c r="S63" s="2" t="s">
        <v>3</v>
      </c>
    </row>
    <row r="64" spans="1:19" ht="15" customHeight="1" x14ac:dyDescent="0.25">
      <c r="A64">
        <v>54464</v>
      </c>
      <c r="B64" t="s">
        <v>281</v>
      </c>
      <c r="C64" t="s">
        <v>1222</v>
      </c>
      <c r="D64" t="s">
        <v>1279</v>
      </c>
      <c r="E64" t="s">
        <v>6</v>
      </c>
      <c r="F64" t="s">
        <v>616</v>
      </c>
      <c r="G64" t="s">
        <v>775</v>
      </c>
      <c r="H64" t="s">
        <v>592</v>
      </c>
      <c r="I64" t="s">
        <v>482</v>
      </c>
      <c r="J64" t="s">
        <v>776</v>
      </c>
      <c r="K64" s="9">
        <v>44221</v>
      </c>
      <c r="L64" s="7">
        <v>44221</v>
      </c>
      <c r="M64" s="2">
        <v>4</v>
      </c>
      <c r="N64" t="s">
        <v>388</v>
      </c>
      <c r="O64" t="s">
        <v>380</v>
      </c>
      <c r="P64" t="s">
        <v>432</v>
      </c>
      <c r="Q64">
        <v>829</v>
      </c>
      <c r="R64" t="s">
        <v>281</v>
      </c>
      <c r="S64" s="2" t="s">
        <v>3</v>
      </c>
    </row>
    <row r="65" spans="1:20" ht="15" customHeight="1" x14ac:dyDescent="0.25">
      <c r="A65">
        <v>54465</v>
      </c>
      <c r="B65" t="s">
        <v>282</v>
      </c>
      <c r="C65" t="s">
        <v>1223</v>
      </c>
      <c r="D65" t="s">
        <v>1220</v>
      </c>
      <c r="E65" t="s">
        <v>6</v>
      </c>
      <c r="F65" t="s">
        <v>616</v>
      </c>
      <c r="G65" t="s">
        <v>796</v>
      </c>
      <c r="H65" t="s">
        <v>592</v>
      </c>
      <c r="I65" t="s">
        <v>488</v>
      </c>
      <c r="J65" t="s">
        <v>797</v>
      </c>
      <c r="K65" s="9">
        <v>44214</v>
      </c>
      <c r="L65" s="7">
        <v>44214</v>
      </c>
      <c r="M65" s="2">
        <v>4</v>
      </c>
      <c r="N65" t="s">
        <v>389</v>
      </c>
      <c r="O65" t="s">
        <v>380</v>
      </c>
      <c r="P65" t="s">
        <v>432</v>
      </c>
      <c r="Q65">
        <v>830</v>
      </c>
      <c r="R65" t="s">
        <v>282</v>
      </c>
      <c r="S65" s="2" t="s">
        <v>3</v>
      </c>
    </row>
    <row r="66" spans="1:20" ht="15" customHeight="1" x14ac:dyDescent="0.25">
      <c r="A66">
        <v>54466</v>
      </c>
      <c r="B66" t="s">
        <v>283</v>
      </c>
      <c r="C66" t="s">
        <v>1172</v>
      </c>
      <c r="D66" t="s">
        <v>1279</v>
      </c>
      <c r="E66" t="s">
        <v>6</v>
      </c>
      <c r="F66" t="s">
        <v>616</v>
      </c>
      <c r="G66" t="s">
        <v>811</v>
      </c>
      <c r="H66" t="s">
        <v>592</v>
      </c>
      <c r="I66" t="s">
        <v>494</v>
      </c>
      <c r="J66" t="s">
        <v>812</v>
      </c>
      <c r="K66" s="9">
        <v>44214</v>
      </c>
      <c r="L66" s="7">
        <v>44214</v>
      </c>
      <c r="M66" s="2">
        <v>5</v>
      </c>
      <c r="N66" t="s">
        <v>388</v>
      </c>
      <c r="O66" t="s">
        <v>380</v>
      </c>
      <c r="P66" t="s">
        <v>432</v>
      </c>
      <c r="Q66">
        <v>831</v>
      </c>
      <c r="R66" t="s">
        <v>283</v>
      </c>
      <c r="S66" s="2" t="s">
        <v>3</v>
      </c>
    </row>
    <row r="67" spans="1:20" ht="15" customHeight="1" x14ac:dyDescent="0.25">
      <c r="A67">
        <v>54471</v>
      </c>
      <c r="B67" t="s">
        <v>287</v>
      </c>
      <c r="C67" t="s">
        <v>1172</v>
      </c>
      <c r="D67" t="s">
        <v>1279</v>
      </c>
      <c r="E67" t="s">
        <v>6</v>
      </c>
      <c r="F67" t="s">
        <v>616</v>
      </c>
      <c r="G67" t="s">
        <v>1369</v>
      </c>
      <c r="H67" t="s">
        <v>592</v>
      </c>
      <c r="I67" t="s">
        <v>502</v>
      </c>
      <c r="J67" t="s">
        <v>844</v>
      </c>
      <c r="K67" s="9">
        <v>44242</v>
      </c>
      <c r="L67" s="7">
        <v>44242</v>
      </c>
      <c r="M67" s="2">
        <v>4</v>
      </c>
      <c r="N67" t="s">
        <v>388</v>
      </c>
      <c r="O67" t="s">
        <v>380</v>
      </c>
      <c r="P67" t="s">
        <v>432</v>
      </c>
      <c r="Q67">
        <v>832</v>
      </c>
      <c r="R67" t="s">
        <v>287</v>
      </c>
      <c r="S67" s="2" t="s">
        <v>3</v>
      </c>
    </row>
    <row r="68" spans="1:20" ht="15" customHeight="1" x14ac:dyDescent="0.25">
      <c r="A68">
        <v>54444</v>
      </c>
      <c r="B68" t="s">
        <v>280</v>
      </c>
      <c r="C68" t="s">
        <v>1224</v>
      </c>
      <c r="D68" t="s">
        <v>1220</v>
      </c>
      <c r="E68" t="s">
        <v>6</v>
      </c>
      <c r="F68" t="s">
        <v>616</v>
      </c>
      <c r="G68" t="s">
        <v>861</v>
      </c>
      <c r="H68" t="s">
        <v>592</v>
      </c>
      <c r="I68" t="s">
        <v>509</v>
      </c>
      <c r="J68" t="s">
        <v>862</v>
      </c>
      <c r="K68" s="9">
        <v>44214</v>
      </c>
      <c r="L68" s="7">
        <v>44214</v>
      </c>
      <c r="M68" s="2">
        <v>5</v>
      </c>
      <c r="N68" t="s">
        <v>389</v>
      </c>
      <c r="O68" t="s">
        <v>380</v>
      </c>
      <c r="P68" t="s">
        <v>432</v>
      </c>
      <c r="Q68">
        <v>834</v>
      </c>
      <c r="R68" t="s">
        <v>280</v>
      </c>
      <c r="S68" s="2" t="s">
        <v>3</v>
      </c>
    </row>
    <row r="69" spans="1:20" ht="15" customHeight="1" x14ac:dyDescent="0.25">
      <c r="A69">
        <v>50499</v>
      </c>
      <c r="B69" t="s">
        <v>261</v>
      </c>
      <c r="C69" t="s">
        <v>1225</v>
      </c>
      <c r="D69" t="s">
        <v>1279</v>
      </c>
      <c r="E69" t="s">
        <v>6</v>
      </c>
      <c r="F69" t="s">
        <v>616</v>
      </c>
      <c r="G69" t="s">
        <v>912</v>
      </c>
      <c r="H69" t="s">
        <v>592</v>
      </c>
      <c r="I69" t="s">
        <v>514</v>
      </c>
      <c r="J69" t="s">
        <v>913</v>
      </c>
      <c r="L69" s="2">
        <v>0</v>
      </c>
      <c r="M69" s="2">
        <v>5</v>
      </c>
      <c r="N69" t="s">
        <v>389</v>
      </c>
      <c r="O69" t="s">
        <v>380</v>
      </c>
      <c r="P69" t="s">
        <v>432</v>
      </c>
      <c r="Q69">
        <v>289</v>
      </c>
      <c r="R69" t="s">
        <v>262</v>
      </c>
      <c r="S69" s="2" t="s">
        <v>3</v>
      </c>
    </row>
    <row r="70" spans="1:20" ht="15" customHeight="1" x14ac:dyDescent="0.25">
      <c r="A70">
        <v>54467</v>
      </c>
      <c r="B70" t="s">
        <v>284</v>
      </c>
      <c r="C70" t="s">
        <v>1226</v>
      </c>
      <c r="D70" t="s">
        <v>1220</v>
      </c>
      <c r="E70" t="s">
        <v>6</v>
      </c>
      <c r="F70" t="s">
        <v>616</v>
      </c>
      <c r="G70" t="s">
        <v>914</v>
      </c>
      <c r="H70" t="s">
        <v>592</v>
      </c>
      <c r="I70" t="s">
        <v>515</v>
      </c>
      <c r="J70" t="s">
        <v>915</v>
      </c>
      <c r="K70" s="9">
        <v>44214</v>
      </c>
      <c r="L70" s="7">
        <v>44214</v>
      </c>
      <c r="M70" s="2">
        <v>5</v>
      </c>
      <c r="N70" t="s">
        <v>389</v>
      </c>
      <c r="O70" t="s">
        <v>380</v>
      </c>
      <c r="P70" t="s">
        <v>432</v>
      </c>
      <c r="Q70">
        <v>835</v>
      </c>
      <c r="R70" t="s">
        <v>284</v>
      </c>
      <c r="S70" s="2" t="s">
        <v>3</v>
      </c>
      <c r="T70" t="s">
        <v>3</v>
      </c>
    </row>
    <row r="71" spans="1:20" x14ac:dyDescent="0.25">
      <c r="A71">
        <v>54468</v>
      </c>
      <c r="B71" t="s">
        <v>285</v>
      </c>
      <c r="C71" t="s">
        <v>1227</v>
      </c>
      <c r="D71" t="s">
        <v>1220</v>
      </c>
      <c r="E71" t="s">
        <v>6</v>
      </c>
      <c r="F71" t="s">
        <v>616</v>
      </c>
      <c r="G71" t="s">
        <v>984</v>
      </c>
      <c r="H71" t="s">
        <v>592</v>
      </c>
      <c r="I71" t="s">
        <v>527</v>
      </c>
      <c r="J71" t="s">
        <v>985</v>
      </c>
      <c r="K71" s="9">
        <v>44228</v>
      </c>
      <c r="L71" s="7">
        <v>44228</v>
      </c>
      <c r="M71" s="2">
        <v>4</v>
      </c>
      <c r="N71" t="s">
        <v>389</v>
      </c>
      <c r="O71" t="s">
        <v>380</v>
      </c>
      <c r="P71" t="s">
        <v>432</v>
      </c>
      <c r="Q71">
        <v>837</v>
      </c>
      <c r="R71" t="s">
        <v>286</v>
      </c>
      <c r="S71" s="2" t="s">
        <v>3</v>
      </c>
    </row>
    <row r="72" spans="1:20" x14ac:dyDescent="0.25">
      <c r="A72">
        <v>50590</v>
      </c>
      <c r="B72" t="s">
        <v>265</v>
      </c>
      <c r="C72" t="s">
        <v>1228</v>
      </c>
      <c r="D72" t="s">
        <v>1279</v>
      </c>
      <c r="E72" t="s">
        <v>6</v>
      </c>
      <c r="F72" t="s">
        <v>616</v>
      </c>
      <c r="G72" t="s">
        <v>995</v>
      </c>
      <c r="H72" t="s">
        <v>592</v>
      </c>
      <c r="I72" t="s">
        <v>531</v>
      </c>
      <c r="J72" t="s">
        <v>996</v>
      </c>
      <c r="L72" s="2">
        <v>0</v>
      </c>
      <c r="M72" s="2">
        <v>4</v>
      </c>
      <c r="N72" t="s">
        <v>389</v>
      </c>
      <c r="O72" t="s">
        <v>380</v>
      </c>
      <c r="P72" t="s">
        <v>432</v>
      </c>
      <c r="Q72">
        <v>290</v>
      </c>
      <c r="R72" t="s">
        <v>266</v>
      </c>
      <c r="S72" s="2" t="s">
        <v>3</v>
      </c>
    </row>
    <row r="73" spans="1:20" x14ac:dyDescent="0.25">
      <c r="A73">
        <v>50850</v>
      </c>
      <c r="B73" t="s">
        <v>274</v>
      </c>
      <c r="C73" t="s">
        <v>1172</v>
      </c>
      <c r="D73" t="s">
        <v>1220</v>
      </c>
      <c r="E73" t="s">
        <v>6</v>
      </c>
      <c r="F73" t="s">
        <v>616</v>
      </c>
      <c r="G73" t="s">
        <v>1049</v>
      </c>
      <c r="H73" t="s">
        <v>592</v>
      </c>
      <c r="I73" t="s">
        <v>542</v>
      </c>
      <c r="J73" t="s">
        <v>1050</v>
      </c>
      <c r="L73" s="2">
        <v>0</v>
      </c>
      <c r="M73" s="2">
        <v>5</v>
      </c>
      <c r="N73" t="s">
        <v>389</v>
      </c>
      <c r="O73" t="s">
        <v>380</v>
      </c>
      <c r="P73" t="s">
        <v>432</v>
      </c>
      <c r="Q73">
        <v>445</v>
      </c>
      <c r="R73" t="s">
        <v>275</v>
      </c>
      <c r="S73" s="2" t="s">
        <v>3</v>
      </c>
    </row>
    <row r="74" spans="1:20" x14ac:dyDescent="0.25">
      <c r="A74">
        <v>6000034</v>
      </c>
      <c r="B74" t="s">
        <v>356</v>
      </c>
      <c r="C74" t="s">
        <v>1229</v>
      </c>
      <c r="D74" t="s">
        <v>1220</v>
      </c>
      <c r="E74" t="s">
        <v>6</v>
      </c>
      <c r="F74" t="s">
        <v>616</v>
      </c>
      <c r="G74" t="s">
        <v>1083</v>
      </c>
      <c r="H74" t="s">
        <v>592</v>
      </c>
      <c r="I74" t="s">
        <v>1084</v>
      </c>
      <c r="J74" t="s">
        <v>1085</v>
      </c>
      <c r="K74" s="9">
        <v>44648</v>
      </c>
      <c r="L74" s="7">
        <v>44648</v>
      </c>
      <c r="M74" s="2">
        <v>3</v>
      </c>
      <c r="N74" t="s">
        <v>388</v>
      </c>
      <c r="O74" t="s">
        <v>381</v>
      </c>
      <c r="P74" t="s">
        <v>381</v>
      </c>
      <c r="Q74">
        <v>476</v>
      </c>
      <c r="R74" t="s">
        <v>356</v>
      </c>
      <c r="S74" s="2" t="s">
        <v>3</v>
      </c>
    </row>
    <row r="75" spans="1:20" x14ac:dyDescent="0.25">
      <c r="A75">
        <v>6000043</v>
      </c>
      <c r="B75" t="s">
        <v>386</v>
      </c>
      <c r="C75" t="s">
        <v>1230</v>
      </c>
      <c r="D75" t="s">
        <v>1245</v>
      </c>
      <c r="E75" t="s">
        <v>6</v>
      </c>
      <c r="F75" t="s">
        <v>616</v>
      </c>
      <c r="G75" t="s">
        <v>1030</v>
      </c>
      <c r="H75" t="s">
        <v>1031</v>
      </c>
      <c r="I75" t="s">
        <v>537</v>
      </c>
      <c r="J75" t="s">
        <v>1032</v>
      </c>
      <c r="K75" s="9">
        <v>44713</v>
      </c>
      <c r="L75" s="7">
        <v>44713</v>
      </c>
      <c r="M75" s="2">
        <v>4</v>
      </c>
      <c r="N75" t="s">
        <v>388</v>
      </c>
      <c r="O75" t="s">
        <v>381</v>
      </c>
      <c r="P75" t="s">
        <v>381</v>
      </c>
      <c r="Q75">
        <v>488</v>
      </c>
      <c r="R75" t="s">
        <v>386</v>
      </c>
      <c r="S75" s="2" t="s">
        <v>3</v>
      </c>
    </row>
    <row r="76" spans="1:20" x14ac:dyDescent="0.25">
      <c r="A76">
        <v>5504</v>
      </c>
      <c r="B76" t="s">
        <v>106</v>
      </c>
      <c r="C76" t="s">
        <v>1231</v>
      </c>
      <c r="D76" t="s">
        <v>1245</v>
      </c>
      <c r="E76" t="s">
        <v>6</v>
      </c>
      <c r="F76" t="s">
        <v>616</v>
      </c>
      <c r="G76" t="s">
        <v>1370</v>
      </c>
      <c r="H76" t="s">
        <v>592</v>
      </c>
      <c r="I76" t="s">
        <v>481</v>
      </c>
      <c r="J76" t="s">
        <v>771</v>
      </c>
      <c r="L76" s="2">
        <v>0</v>
      </c>
      <c r="M76" s="2">
        <v>5</v>
      </c>
      <c r="N76" t="s">
        <v>388</v>
      </c>
      <c r="O76" t="s">
        <v>380</v>
      </c>
      <c r="P76" t="s">
        <v>432</v>
      </c>
      <c r="Q76">
        <v>82</v>
      </c>
      <c r="R76" t="s">
        <v>107</v>
      </c>
      <c r="S76" s="2" t="s">
        <v>3</v>
      </c>
    </row>
    <row r="77" spans="1:20" x14ac:dyDescent="0.25">
      <c r="A77">
        <v>5501</v>
      </c>
      <c r="B77" t="s">
        <v>99</v>
      </c>
      <c r="C77" t="s">
        <v>1232</v>
      </c>
      <c r="D77" t="s">
        <v>1245</v>
      </c>
      <c r="E77" t="s">
        <v>6</v>
      </c>
      <c r="F77" t="s">
        <v>616</v>
      </c>
      <c r="G77" t="s">
        <v>1015</v>
      </c>
      <c r="H77" t="s">
        <v>1016</v>
      </c>
      <c r="I77" t="s">
        <v>537</v>
      </c>
      <c r="J77" t="s">
        <v>1017</v>
      </c>
      <c r="L77" s="2">
        <v>0</v>
      </c>
      <c r="M77" s="2">
        <v>5</v>
      </c>
      <c r="N77" t="s">
        <v>388</v>
      </c>
      <c r="O77" t="s">
        <v>380</v>
      </c>
      <c r="P77" t="s">
        <v>428</v>
      </c>
      <c r="Q77">
        <v>44</v>
      </c>
      <c r="R77" t="s">
        <v>100</v>
      </c>
      <c r="S77" s="2" t="s">
        <v>3</v>
      </c>
    </row>
    <row r="78" spans="1:20" x14ac:dyDescent="0.25">
      <c r="A78">
        <v>6000036</v>
      </c>
      <c r="B78" t="s">
        <v>357</v>
      </c>
      <c r="C78" t="s">
        <v>1233</v>
      </c>
      <c r="D78" t="s">
        <v>1245</v>
      </c>
      <c r="E78" t="s">
        <v>6</v>
      </c>
      <c r="F78" t="s">
        <v>616</v>
      </c>
      <c r="G78" t="s">
        <v>1018</v>
      </c>
      <c r="H78" t="s">
        <v>1019</v>
      </c>
      <c r="I78" t="s">
        <v>537</v>
      </c>
      <c r="J78" t="s">
        <v>1020</v>
      </c>
      <c r="K78" s="9">
        <v>44655</v>
      </c>
      <c r="L78" s="7">
        <v>44655</v>
      </c>
      <c r="M78" s="2">
        <v>4</v>
      </c>
      <c r="N78" t="s">
        <v>388</v>
      </c>
      <c r="O78" t="s">
        <v>381</v>
      </c>
      <c r="P78" t="s">
        <v>381</v>
      </c>
      <c r="Q78">
        <v>479</v>
      </c>
      <c r="R78" t="s">
        <v>358</v>
      </c>
      <c r="S78" s="2" t="s">
        <v>3</v>
      </c>
    </row>
    <row r="79" spans="1:20" ht="15" customHeight="1" x14ac:dyDescent="0.25">
      <c r="A79">
        <v>6000040</v>
      </c>
      <c r="B79" t="s">
        <v>365</v>
      </c>
      <c r="C79" t="s">
        <v>1234</v>
      </c>
      <c r="D79" t="s">
        <v>1245</v>
      </c>
      <c r="E79" t="s">
        <v>6</v>
      </c>
      <c r="F79" t="s">
        <v>616</v>
      </c>
      <c r="G79" t="s">
        <v>1022</v>
      </c>
      <c r="H79" t="s">
        <v>1023</v>
      </c>
      <c r="I79" t="s">
        <v>537</v>
      </c>
      <c r="J79" t="s">
        <v>1024</v>
      </c>
      <c r="K79" s="9">
        <v>44678</v>
      </c>
      <c r="L79" s="7">
        <v>44678</v>
      </c>
      <c r="M79" s="2">
        <v>4</v>
      </c>
      <c r="N79" t="s">
        <v>388</v>
      </c>
      <c r="O79" t="s">
        <v>381</v>
      </c>
      <c r="P79" t="s">
        <v>381</v>
      </c>
      <c r="Q79">
        <v>478</v>
      </c>
      <c r="R79" t="s">
        <v>365</v>
      </c>
      <c r="S79" s="2" t="s">
        <v>3</v>
      </c>
    </row>
    <row r="80" spans="1:20" ht="15" customHeight="1" x14ac:dyDescent="0.25">
      <c r="A80">
        <v>5506</v>
      </c>
      <c r="B80" t="s">
        <v>108</v>
      </c>
      <c r="C80" t="s">
        <v>1235</v>
      </c>
      <c r="D80" t="s">
        <v>1245</v>
      </c>
      <c r="E80" t="s">
        <v>6</v>
      </c>
      <c r="F80" t="s">
        <v>616</v>
      </c>
      <c r="G80" t="s">
        <v>1025</v>
      </c>
      <c r="H80" t="s">
        <v>1026</v>
      </c>
      <c r="I80" t="s">
        <v>537</v>
      </c>
      <c r="J80" t="s">
        <v>1027</v>
      </c>
      <c r="L80" s="2">
        <v>0</v>
      </c>
      <c r="M80" s="2">
        <v>4</v>
      </c>
      <c r="N80" t="s">
        <v>388</v>
      </c>
      <c r="O80" t="s">
        <v>380</v>
      </c>
      <c r="P80" t="s">
        <v>428</v>
      </c>
      <c r="Q80">
        <v>85</v>
      </c>
      <c r="R80" t="s">
        <v>109</v>
      </c>
      <c r="S80" s="2" t="s">
        <v>3</v>
      </c>
      <c r="T80" t="s">
        <v>3</v>
      </c>
    </row>
    <row r="81" spans="1:20" ht="15" customHeight="1" x14ac:dyDescent="0.25">
      <c r="A81">
        <v>600081</v>
      </c>
      <c r="B81" t="s">
        <v>348</v>
      </c>
      <c r="C81" t="s">
        <v>1236</v>
      </c>
      <c r="D81" t="s">
        <v>1245</v>
      </c>
      <c r="E81" t="s">
        <v>6</v>
      </c>
      <c r="F81" t="s">
        <v>616</v>
      </c>
      <c r="G81" t="s">
        <v>1371</v>
      </c>
      <c r="H81" t="s">
        <v>1028</v>
      </c>
      <c r="I81" t="s">
        <v>537</v>
      </c>
      <c r="J81" t="s">
        <v>1029</v>
      </c>
      <c r="K81" s="9">
        <v>44655</v>
      </c>
      <c r="L81" s="7">
        <v>44655</v>
      </c>
      <c r="M81" s="2">
        <v>4</v>
      </c>
      <c r="N81" t="s">
        <v>388</v>
      </c>
      <c r="O81" t="s">
        <v>381</v>
      </c>
      <c r="P81" t="s">
        <v>381</v>
      </c>
      <c r="Q81">
        <v>473</v>
      </c>
      <c r="R81" t="s">
        <v>348</v>
      </c>
      <c r="S81" s="2" t="s">
        <v>3</v>
      </c>
    </row>
    <row r="82" spans="1:20" ht="15" customHeight="1" x14ac:dyDescent="0.25">
      <c r="A82">
        <v>31174</v>
      </c>
      <c r="B82" t="s">
        <v>231</v>
      </c>
      <c r="C82" t="s">
        <v>1237</v>
      </c>
      <c r="D82" t="s">
        <v>370</v>
      </c>
      <c r="E82" t="s">
        <v>6</v>
      </c>
      <c r="F82" t="s">
        <v>594</v>
      </c>
      <c r="G82" t="s">
        <v>595</v>
      </c>
      <c r="H82" t="s">
        <v>596</v>
      </c>
      <c r="I82" t="s">
        <v>434</v>
      </c>
      <c r="J82" t="s">
        <v>597</v>
      </c>
      <c r="L82" s="2">
        <v>0</v>
      </c>
      <c r="M82" s="2">
        <v>4</v>
      </c>
      <c r="N82" t="s">
        <v>388</v>
      </c>
      <c r="O82" t="s">
        <v>380</v>
      </c>
      <c r="P82" t="s">
        <v>432</v>
      </c>
      <c r="Q82">
        <v>735</v>
      </c>
      <c r="R82" t="s">
        <v>232</v>
      </c>
      <c r="S82" s="2" t="s">
        <v>3</v>
      </c>
    </row>
    <row r="83" spans="1:20" ht="15" customHeight="1" x14ac:dyDescent="0.25">
      <c r="A83">
        <v>3802</v>
      </c>
      <c r="B83" t="s">
        <v>92</v>
      </c>
      <c r="C83" t="s">
        <v>1238</v>
      </c>
      <c r="D83" t="s">
        <v>370</v>
      </c>
      <c r="E83" t="s">
        <v>6</v>
      </c>
      <c r="F83" t="s">
        <v>594</v>
      </c>
      <c r="G83" t="s">
        <v>713</v>
      </c>
      <c r="H83" t="s">
        <v>592</v>
      </c>
      <c r="I83" t="s">
        <v>466</v>
      </c>
      <c r="J83" t="s">
        <v>714</v>
      </c>
      <c r="L83" s="2">
        <v>0</v>
      </c>
      <c r="M83" s="2">
        <v>6</v>
      </c>
      <c r="N83" t="s">
        <v>388</v>
      </c>
      <c r="O83" t="s">
        <v>380</v>
      </c>
      <c r="P83" t="s">
        <v>432</v>
      </c>
      <c r="Q83">
        <v>133</v>
      </c>
      <c r="R83" t="s">
        <v>93</v>
      </c>
      <c r="S83" s="2" t="s">
        <v>3</v>
      </c>
      <c r="T83" t="s">
        <v>3</v>
      </c>
    </row>
    <row r="84" spans="1:20" ht="15" customHeight="1" x14ac:dyDescent="0.25">
      <c r="A84">
        <v>3801</v>
      </c>
      <c r="B84" t="s">
        <v>91</v>
      </c>
      <c r="C84" t="s">
        <v>1239</v>
      </c>
      <c r="D84" t="s">
        <v>370</v>
      </c>
      <c r="E84" t="s">
        <v>6</v>
      </c>
      <c r="F84" t="s">
        <v>594</v>
      </c>
      <c r="G84" t="s">
        <v>724</v>
      </c>
      <c r="H84" t="s">
        <v>725</v>
      </c>
      <c r="I84" t="s">
        <v>470</v>
      </c>
      <c r="J84" t="s">
        <v>726</v>
      </c>
      <c r="L84" s="2">
        <v>0</v>
      </c>
      <c r="M84" s="2">
        <v>4</v>
      </c>
      <c r="N84" t="s">
        <v>388</v>
      </c>
      <c r="O84" t="s">
        <v>380</v>
      </c>
      <c r="P84" t="s">
        <v>432</v>
      </c>
      <c r="Q84">
        <v>125</v>
      </c>
      <c r="R84" t="s">
        <v>91</v>
      </c>
      <c r="S84" s="2" t="s">
        <v>3</v>
      </c>
    </row>
    <row r="85" spans="1:20" ht="15" customHeight="1" x14ac:dyDescent="0.25">
      <c r="A85">
        <v>30110</v>
      </c>
      <c r="B85" t="s">
        <v>229</v>
      </c>
      <c r="C85" t="s">
        <v>1240</v>
      </c>
      <c r="D85" t="s">
        <v>370</v>
      </c>
      <c r="E85" t="s">
        <v>6</v>
      </c>
      <c r="F85" t="s">
        <v>594</v>
      </c>
      <c r="G85" t="s">
        <v>854</v>
      </c>
      <c r="H85" t="s">
        <v>855</v>
      </c>
      <c r="I85" t="s">
        <v>506</v>
      </c>
      <c r="J85" t="s">
        <v>856</v>
      </c>
      <c r="L85" s="2">
        <v>0</v>
      </c>
      <c r="M85" s="2">
        <v>6</v>
      </c>
      <c r="N85" t="s">
        <v>388</v>
      </c>
      <c r="O85" t="s">
        <v>380</v>
      </c>
      <c r="P85" t="s">
        <v>432</v>
      </c>
      <c r="Q85">
        <v>306</v>
      </c>
      <c r="R85" t="s">
        <v>230</v>
      </c>
      <c r="S85" s="2" t="s">
        <v>3</v>
      </c>
    </row>
    <row r="86" spans="1:20" ht="15" customHeight="1" x14ac:dyDescent="0.25">
      <c r="A86">
        <v>31220</v>
      </c>
      <c r="B86" t="s">
        <v>235</v>
      </c>
      <c r="C86" t="s">
        <v>1241</v>
      </c>
      <c r="D86" t="s">
        <v>370</v>
      </c>
      <c r="E86" t="s">
        <v>6</v>
      </c>
      <c r="F86" t="s">
        <v>594</v>
      </c>
      <c r="G86" t="s">
        <v>863</v>
      </c>
      <c r="H86" t="s">
        <v>592</v>
      </c>
      <c r="I86" t="s">
        <v>510</v>
      </c>
      <c r="J86" t="s">
        <v>864</v>
      </c>
      <c r="L86" s="2">
        <v>0</v>
      </c>
      <c r="M86" s="2">
        <v>5</v>
      </c>
      <c r="N86" t="s">
        <v>388</v>
      </c>
      <c r="O86" t="s">
        <v>380</v>
      </c>
      <c r="P86" t="s">
        <v>432</v>
      </c>
      <c r="Q86">
        <v>741</v>
      </c>
      <c r="R86" t="s">
        <v>235</v>
      </c>
      <c r="S86" s="2" t="s">
        <v>3</v>
      </c>
    </row>
    <row r="87" spans="1:20" ht="15" customHeight="1" x14ac:dyDescent="0.25">
      <c r="A87">
        <v>31175</v>
      </c>
      <c r="B87" t="s">
        <v>233</v>
      </c>
      <c r="C87" t="s">
        <v>1172</v>
      </c>
      <c r="D87" t="s">
        <v>370</v>
      </c>
      <c r="E87" t="s">
        <v>6</v>
      </c>
      <c r="F87" t="s">
        <v>594</v>
      </c>
      <c r="G87" t="s">
        <v>999</v>
      </c>
      <c r="H87" t="s">
        <v>592</v>
      </c>
      <c r="I87" t="s">
        <v>533</v>
      </c>
      <c r="J87" t="s">
        <v>1000</v>
      </c>
      <c r="L87" s="2">
        <v>0</v>
      </c>
      <c r="M87" s="2">
        <v>4</v>
      </c>
      <c r="N87" t="s">
        <v>388</v>
      </c>
      <c r="O87" t="s">
        <v>380</v>
      </c>
      <c r="P87" t="s">
        <v>432</v>
      </c>
      <c r="Q87">
        <v>736</v>
      </c>
      <c r="R87" t="s">
        <v>234</v>
      </c>
      <c r="S87" s="2" t="s">
        <v>3</v>
      </c>
    </row>
    <row r="88" spans="1:20" ht="15" customHeight="1" x14ac:dyDescent="0.25">
      <c r="A88">
        <v>6000038</v>
      </c>
      <c r="B88" t="s">
        <v>359</v>
      </c>
      <c r="C88" t="s">
        <v>1242</v>
      </c>
      <c r="D88" t="s">
        <v>397</v>
      </c>
      <c r="E88" t="s">
        <v>6</v>
      </c>
      <c r="F88" t="s">
        <v>616</v>
      </c>
      <c r="G88" t="s">
        <v>619</v>
      </c>
      <c r="H88" t="s">
        <v>592</v>
      </c>
      <c r="I88" t="s">
        <v>620</v>
      </c>
      <c r="J88" t="s">
        <v>621</v>
      </c>
      <c r="K88" s="9">
        <v>44691</v>
      </c>
      <c r="L88" s="7">
        <v>44691</v>
      </c>
      <c r="M88" s="2">
        <v>4</v>
      </c>
      <c r="N88" t="s">
        <v>389</v>
      </c>
      <c r="O88" t="s">
        <v>381</v>
      </c>
      <c r="P88" t="s">
        <v>381</v>
      </c>
      <c r="Q88">
        <v>480</v>
      </c>
      <c r="R88" t="s">
        <v>359</v>
      </c>
      <c r="S88" s="2" t="s">
        <v>384</v>
      </c>
    </row>
    <row r="89" spans="1:20" ht="15" customHeight="1" x14ac:dyDescent="0.25">
      <c r="A89">
        <v>6000045</v>
      </c>
      <c r="B89" t="s">
        <v>414</v>
      </c>
      <c r="C89" t="s">
        <v>1243</v>
      </c>
      <c r="D89" t="s">
        <v>397</v>
      </c>
      <c r="E89" t="s">
        <v>6</v>
      </c>
      <c r="F89" t="s">
        <v>616</v>
      </c>
      <c r="G89" t="s">
        <v>1033</v>
      </c>
      <c r="H89" t="s">
        <v>592</v>
      </c>
      <c r="I89" t="s">
        <v>537</v>
      </c>
      <c r="J89" t="s">
        <v>1034</v>
      </c>
      <c r="K89" s="9">
        <v>44789</v>
      </c>
      <c r="M89" s="2">
        <v>4</v>
      </c>
      <c r="O89" t="s">
        <v>380</v>
      </c>
      <c r="P89" t="s">
        <v>432</v>
      </c>
      <c r="Q89">
        <v>482</v>
      </c>
      <c r="R89" t="s">
        <v>414</v>
      </c>
      <c r="S89" s="2" t="s">
        <v>3</v>
      </c>
    </row>
    <row r="90" spans="1:20" ht="15" customHeight="1" x14ac:dyDescent="0.25">
      <c r="A90">
        <v>600079</v>
      </c>
      <c r="B90" t="s">
        <v>346</v>
      </c>
      <c r="C90" t="s">
        <v>1244</v>
      </c>
      <c r="D90" t="s">
        <v>397</v>
      </c>
      <c r="E90" t="s">
        <v>6</v>
      </c>
      <c r="F90" t="s">
        <v>616</v>
      </c>
      <c r="G90" t="s">
        <v>1372</v>
      </c>
      <c r="H90" t="s">
        <v>592</v>
      </c>
      <c r="I90" t="s">
        <v>743</v>
      </c>
      <c r="J90" t="s">
        <v>744</v>
      </c>
      <c r="K90" s="9">
        <v>44677</v>
      </c>
      <c r="L90" s="7">
        <v>44677</v>
      </c>
      <c r="M90" s="2">
        <v>4</v>
      </c>
      <c r="N90" t="s">
        <v>388</v>
      </c>
      <c r="O90" t="s">
        <v>381</v>
      </c>
      <c r="P90" t="s">
        <v>381</v>
      </c>
      <c r="Q90">
        <v>471</v>
      </c>
      <c r="R90" t="s">
        <v>346</v>
      </c>
      <c r="S90" s="2" t="s">
        <v>3</v>
      </c>
    </row>
    <row r="91" spans="1:20" ht="15" customHeight="1" x14ac:dyDescent="0.25">
      <c r="A91">
        <v>50734</v>
      </c>
      <c r="B91" t="s">
        <v>271</v>
      </c>
      <c r="C91" t="s">
        <v>1245</v>
      </c>
      <c r="D91" t="s">
        <v>1245</v>
      </c>
      <c r="E91" t="s">
        <v>6</v>
      </c>
      <c r="F91" t="s">
        <v>616</v>
      </c>
      <c r="G91" t="s">
        <v>758</v>
      </c>
      <c r="H91" t="s">
        <v>592</v>
      </c>
      <c r="I91" t="s">
        <v>479</v>
      </c>
      <c r="J91" t="s">
        <v>759</v>
      </c>
      <c r="L91" s="2">
        <v>0</v>
      </c>
      <c r="M91" s="2">
        <v>5</v>
      </c>
      <c r="N91" t="s">
        <v>388</v>
      </c>
      <c r="O91" t="s">
        <v>380</v>
      </c>
      <c r="P91" t="s">
        <v>428</v>
      </c>
      <c r="Q91">
        <v>681</v>
      </c>
      <c r="R91" t="s">
        <v>272</v>
      </c>
      <c r="S91" s="2" t="s">
        <v>3</v>
      </c>
    </row>
    <row r="92" spans="1:20" ht="15" customHeight="1" x14ac:dyDescent="0.25">
      <c r="A92">
        <v>54512</v>
      </c>
      <c r="B92" t="s">
        <v>288</v>
      </c>
      <c r="C92" t="s">
        <v>1246</v>
      </c>
      <c r="D92" t="s">
        <v>397</v>
      </c>
      <c r="E92" t="s">
        <v>6</v>
      </c>
      <c r="F92" t="s">
        <v>616</v>
      </c>
      <c r="G92" t="s">
        <v>790</v>
      </c>
      <c r="H92" t="s">
        <v>592</v>
      </c>
      <c r="I92" t="s">
        <v>485</v>
      </c>
      <c r="J92" t="s">
        <v>791</v>
      </c>
      <c r="K92" s="9">
        <v>44291</v>
      </c>
      <c r="L92" s="7">
        <v>44291</v>
      </c>
      <c r="M92" s="2">
        <v>5</v>
      </c>
      <c r="N92" t="s">
        <v>389</v>
      </c>
      <c r="O92" t="s">
        <v>380</v>
      </c>
      <c r="P92" t="s">
        <v>432</v>
      </c>
      <c r="Q92">
        <v>850</v>
      </c>
      <c r="R92" t="s">
        <v>289</v>
      </c>
      <c r="S92" s="2" t="s">
        <v>3</v>
      </c>
    </row>
    <row r="93" spans="1:20" ht="15" customHeight="1" x14ac:dyDescent="0.25">
      <c r="A93">
        <v>50550</v>
      </c>
      <c r="B93" t="s">
        <v>263</v>
      </c>
      <c r="C93" t="s">
        <v>1247</v>
      </c>
      <c r="D93" t="s">
        <v>397</v>
      </c>
      <c r="E93" t="s">
        <v>6</v>
      </c>
      <c r="F93" t="s">
        <v>616</v>
      </c>
      <c r="G93" t="s">
        <v>842</v>
      </c>
      <c r="H93" t="s">
        <v>592</v>
      </c>
      <c r="I93" t="s">
        <v>501</v>
      </c>
      <c r="J93" t="s">
        <v>843</v>
      </c>
      <c r="L93" s="2">
        <v>0</v>
      </c>
      <c r="M93" s="2">
        <v>6</v>
      </c>
      <c r="N93" t="s">
        <v>388</v>
      </c>
      <c r="O93" t="s">
        <v>380</v>
      </c>
      <c r="P93" t="s">
        <v>432</v>
      </c>
      <c r="Q93">
        <v>675</v>
      </c>
      <c r="R93" t="s">
        <v>264</v>
      </c>
      <c r="S93" s="2" t="s">
        <v>3</v>
      </c>
    </row>
    <row r="94" spans="1:20" ht="15" customHeight="1" x14ac:dyDescent="0.25">
      <c r="A94">
        <v>52012</v>
      </c>
      <c r="B94" t="s">
        <v>276</v>
      </c>
      <c r="C94" t="s">
        <v>1248</v>
      </c>
      <c r="D94" t="s">
        <v>397</v>
      </c>
      <c r="E94" t="s">
        <v>6</v>
      </c>
      <c r="F94" t="s">
        <v>616</v>
      </c>
      <c r="G94" t="s">
        <v>1373</v>
      </c>
      <c r="H94" t="s">
        <v>592</v>
      </c>
      <c r="I94" t="s">
        <v>537</v>
      </c>
      <c r="J94" t="s">
        <v>1021</v>
      </c>
      <c r="L94" s="2">
        <v>0</v>
      </c>
      <c r="M94" s="2">
        <v>4</v>
      </c>
      <c r="N94" t="s">
        <v>388</v>
      </c>
      <c r="O94" t="s">
        <v>380</v>
      </c>
      <c r="P94" t="s">
        <v>428</v>
      </c>
      <c r="Q94">
        <v>702</v>
      </c>
      <c r="R94" t="s">
        <v>277</v>
      </c>
      <c r="S94" s="2" t="s">
        <v>3</v>
      </c>
      <c r="T94" t="s">
        <v>3</v>
      </c>
    </row>
    <row r="95" spans="1:20" ht="15" customHeight="1" x14ac:dyDescent="0.25">
      <c r="A95">
        <v>6000033</v>
      </c>
      <c r="B95" t="s">
        <v>355</v>
      </c>
      <c r="C95" t="s">
        <v>1249</v>
      </c>
      <c r="D95" t="s">
        <v>397</v>
      </c>
      <c r="E95" t="s">
        <v>6</v>
      </c>
      <c r="F95" t="s">
        <v>616</v>
      </c>
      <c r="G95" t="s">
        <v>1035</v>
      </c>
      <c r="H95" t="s">
        <v>592</v>
      </c>
      <c r="I95" t="s">
        <v>1036</v>
      </c>
      <c r="J95" t="s">
        <v>1037</v>
      </c>
      <c r="K95" s="9">
        <v>44691</v>
      </c>
      <c r="L95" s="7">
        <v>44691</v>
      </c>
      <c r="M95" s="2">
        <v>3</v>
      </c>
      <c r="N95" t="s">
        <v>388</v>
      </c>
      <c r="O95" t="s">
        <v>381</v>
      </c>
      <c r="P95" t="s">
        <v>381</v>
      </c>
      <c r="Q95">
        <v>474</v>
      </c>
      <c r="R95" t="s">
        <v>355</v>
      </c>
      <c r="S95" s="2" t="s">
        <v>384</v>
      </c>
    </row>
    <row r="96" spans="1:20" ht="15" customHeight="1" x14ac:dyDescent="0.25">
      <c r="A96">
        <v>600055</v>
      </c>
      <c r="B96" t="s">
        <v>334</v>
      </c>
      <c r="C96" t="s">
        <v>1250</v>
      </c>
      <c r="D96" t="s">
        <v>1245</v>
      </c>
      <c r="E96" t="s">
        <v>6</v>
      </c>
      <c r="F96" t="s">
        <v>616</v>
      </c>
      <c r="G96" t="s">
        <v>760</v>
      </c>
      <c r="H96" t="s">
        <v>761</v>
      </c>
      <c r="I96" t="s">
        <v>479</v>
      </c>
      <c r="J96" t="s">
        <v>762</v>
      </c>
      <c r="K96" s="9">
        <v>44579</v>
      </c>
      <c r="L96" s="7">
        <v>44579</v>
      </c>
      <c r="M96" s="2">
        <v>3</v>
      </c>
      <c r="N96" t="s">
        <v>388</v>
      </c>
      <c r="O96" t="s">
        <v>380</v>
      </c>
      <c r="P96" t="s">
        <v>428</v>
      </c>
      <c r="Q96">
        <v>887</v>
      </c>
      <c r="R96" t="s">
        <v>335</v>
      </c>
      <c r="S96" s="2" t="s">
        <v>3</v>
      </c>
    </row>
    <row r="97" spans="1:19" ht="15" customHeight="1" x14ac:dyDescent="0.25">
      <c r="A97">
        <v>1435</v>
      </c>
      <c r="B97" t="s">
        <v>46</v>
      </c>
      <c r="C97" t="s">
        <v>1251</v>
      </c>
      <c r="D97" t="s">
        <v>7</v>
      </c>
      <c r="E97" t="s">
        <v>10</v>
      </c>
      <c r="F97" t="s">
        <v>590</v>
      </c>
      <c r="G97" t="s">
        <v>650</v>
      </c>
      <c r="H97" t="s">
        <v>592</v>
      </c>
      <c r="I97" t="s">
        <v>651</v>
      </c>
      <c r="J97" t="s">
        <v>652</v>
      </c>
      <c r="L97" s="2">
        <v>0</v>
      </c>
      <c r="M97" s="2">
        <v>3</v>
      </c>
      <c r="N97" t="s">
        <v>388</v>
      </c>
      <c r="O97" t="s">
        <v>381</v>
      </c>
      <c r="P97" t="s">
        <v>381</v>
      </c>
      <c r="Q97">
        <v>110</v>
      </c>
      <c r="R97" t="s">
        <v>47</v>
      </c>
      <c r="S97" s="2" t="s">
        <v>3</v>
      </c>
    </row>
    <row r="98" spans="1:19" ht="15" customHeight="1" x14ac:dyDescent="0.25">
      <c r="A98">
        <v>1434</v>
      </c>
      <c r="B98" t="s">
        <v>44</v>
      </c>
      <c r="C98" t="s">
        <v>1252</v>
      </c>
      <c r="D98" t="s">
        <v>7</v>
      </c>
      <c r="E98" t="s">
        <v>10</v>
      </c>
      <c r="F98" t="s">
        <v>590</v>
      </c>
      <c r="G98" t="s">
        <v>655</v>
      </c>
      <c r="H98" t="s">
        <v>592</v>
      </c>
      <c r="I98" t="s">
        <v>447</v>
      </c>
      <c r="J98" t="s">
        <v>656</v>
      </c>
      <c r="L98" s="2">
        <v>0</v>
      </c>
      <c r="M98" s="2">
        <v>5</v>
      </c>
      <c r="N98" t="s">
        <v>388</v>
      </c>
      <c r="O98" t="s">
        <v>380</v>
      </c>
      <c r="P98" t="s">
        <v>432</v>
      </c>
      <c r="Q98">
        <v>609</v>
      </c>
      <c r="R98" t="s">
        <v>45</v>
      </c>
      <c r="S98" s="2" t="s">
        <v>3</v>
      </c>
    </row>
    <row r="99" spans="1:19" ht="15" customHeight="1" x14ac:dyDescent="0.25">
      <c r="A99">
        <v>19901</v>
      </c>
      <c r="B99" t="s">
        <v>210</v>
      </c>
      <c r="C99" t="s">
        <v>1253</v>
      </c>
      <c r="D99" t="s">
        <v>7</v>
      </c>
      <c r="E99" t="s">
        <v>10</v>
      </c>
      <c r="F99" t="s">
        <v>590</v>
      </c>
      <c r="G99" t="s">
        <v>697</v>
      </c>
      <c r="H99" t="s">
        <v>592</v>
      </c>
      <c r="I99" t="s">
        <v>698</v>
      </c>
      <c r="J99" t="s">
        <v>699</v>
      </c>
      <c r="L99" s="2">
        <v>0</v>
      </c>
      <c r="M99" s="2">
        <v>3</v>
      </c>
      <c r="N99" t="s">
        <v>388</v>
      </c>
      <c r="O99" t="s">
        <v>381</v>
      </c>
      <c r="P99" t="s">
        <v>381</v>
      </c>
      <c r="Q99">
        <v>704</v>
      </c>
      <c r="R99" t="s">
        <v>211</v>
      </c>
      <c r="S99" s="2" t="s">
        <v>3</v>
      </c>
    </row>
    <row r="100" spans="1:19" ht="15" customHeight="1" x14ac:dyDescent="0.25">
      <c r="A100">
        <v>1432</v>
      </c>
      <c r="B100" t="s">
        <v>42</v>
      </c>
      <c r="C100" t="s">
        <v>1254</v>
      </c>
      <c r="D100" t="s">
        <v>7</v>
      </c>
      <c r="E100" t="s">
        <v>10</v>
      </c>
      <c r="F100" t="s">
        <v>590</v>
      </c>
      <c r="G100" t="s">
        <v>750</v>
      </c>
      <c r="H100" t="s">
        <v>592</v>
      </c>
      <c r="I100" t="s">
        <v>475</v>
      </c>
      <c r="J100" t="s">
        <v>751</v>
      </c>
      <c r="L100" s="2">
        <v>0</v>
      </c>
      <c r="M100" s="2">
        <v>5</v>
      </c>
      <c r="N100" t="s">
        <v>388</v>
      </c>
      <c r="O100" t="s">
        <v>380</v>
      </c>
      <c r="P100" t="s">
        <v>432</v>
      </c>
      <c r="Q100">
        <v>86</v>
      </c>
      <c r="R100" t="s">
        <v>43</v>
      </c>
      <c r="S100" s="2" t="s">
        <v>3</v>
      </c>
    </row>
    <row r="101" spans="1:19" ht="15" customHeight="1" x14ac:dyDescent="0.25">
      <c r="A101">
        <v>1405</v>
      </c>
      <c r="B101" t="s">
        <v>14</v>
      </c>
      <c r="C101" t="s">
        <v>1255</v>
      </c>
      <c r="D101" t="s">
        <v>391</v>
      </c>
      <c r="E101" t="s">
        <v>10</v>
      </c>
      <c r="F101" t="s">
        <v>590</v>
      </c>
      <c r="G101" t="s">
        <v>752</v>
      </c>
      <c r="H101" t="s">
        <v>592</v>
      </c>
      <c r="I101" t="s">
        <v>476</v>
      </c>
      <c r="J101" t="s">
        <v>753</v>
      </c>
      <c r="L101" s="2">
        <v>0</v>
      </c>
      <c r="M101" s="2">
        <v>4</v>
      </c>
      <c r="N101" t="s">
        <v>388</v>
      </c>
      <c r="O101" t="s">
        <v>380</v>
      </c>
      <c r="P101" t="s">
        <v>432</v>
      </c>
      <c r="Q101">
        <v>620</v>
      </c>
      <c r="R101" t="s">
        <v>15</v>
      </c>
      <c r="S101" s="2" t="s">
        <v>3</v>
      </c>
    </row>
    <row r="102" spans="1:19" ht="15" customHeight="1" x14ac:dyDescent="0.25">
      <c r="A102">
        <v>1409</v>
      </c>
      <c r="B102" t="s">
        <v>19</v>
      </c>
      <c r="C102" t="s">
        <v>1256</v>
      </c>
      <c r="D102" t="s">
        <v>7</v>
      </c>
      <c r="E102" t="s">
        <v>10</v>
      </c>
      <c r="F102" t="s">
        <v>590</v>
      </c>
      <c r="G102" t="s">
        <v>877</v>
      </c>
      <c r="H102" t="s">
        <v>878</v>
      </c>
      <c r="I102" t="s">
        <v>431</v>
      </c>
      <c r="J102" t="s">
        <v>879</v>
      </c>
      <c r="L102" s="2">
        <v>0</v>
      </c>
      <c r="M102" s="2">
        <v>7</v>
      </c>
      <c r="N102" t="s">
        <v>388</v>
      </c>
      <c r="O102" t="s">
        <v>380</v>
      </c>
      <c r="P102" t="s">
        <v>428</v>
      </c>
      <c r="Q102">
        <v>409</v>
      </c>
      <c r="R102" t="s">
        <v>20</v>
      </c>
      <c r="S102" s="2" t="s">
        <v>3</v>
      </c>
    </row>
    <row r="103" spans="1:19" ht="15" customHeight="1" x14ac:dyDescent="0.25">
      <c r="A103">
        <v>1400</v>
      </c>
      <c r="B103" t="s">
        <v>4</v>
      </c>
      <c r="C103" t="s">
        <v>1257</v>
      </c>
      <c r="D103" t="s">
        <v>7</v>
      </c>
      <c r="E103" t="s">
        <v>10</v>
      </c>
      <c r="F103" t="s">
        <v>590</v>
      </c>
      <c r="G103" t="s">
        <v>880</v>
      </c>
      <c r="H103" t="s">
        <v>592</v>
      </c>
      <c r="I103" t="s">
        <v>431</v>
      </c>
      <c r="J103" t="s">
        <v>881</v>
      </c>
      <c r="L103" s="2">
        <v>0</v>
      </c>
      <c r="M103" s="2">
        <v>9</v>
      </c>
      <c r="N103" t="s">
        <v>388</v>
      </c>
      <c r="O103" t="s">
        <v>380</v>
      </c>
      <c r="P103" t="s">
        <v>428</v>
      </c>
      <c r="Q103">
        <v>400</v>
      </c>
      <c r="R103" t="s">
        <v>5</v>
      </c>
      <c r="S103" s="2" t="s">
        <v>3</v>
      </c>
    </row>
    <row r="104" spans="1:19" ht="15" customHeight="1" x14ac:dyDescent="0.25">
      <c r="A104">
        <v>1401</v>
      </c>
      <c r="B104" t="s">
        <v>568</v>
      </c>
      <c r="C104" t="s">
        <v>1258</v>
      </c>
      <c r="D104" t="s">
        <v>7</v>
      </c>
      <c r="E104" t="s">
        <v>10</v>
      </c>
      <c r="F104" t="s">
        <v>590</v>
      </c>
      <c r="G104" t="s">
        <v>1104</v>
      </c>
      <c r="H104" t="s">
        <v>1105</v>
      </c>
      <c r="I104" t="s">
        <v>431</v>
      </c>
      <c r="J104" t="s">
        <v>884</v>
      </c>
      <c r="L104" s="2">
        <v>0</v>
      </c>
      <c r="M104" s="2">
        <v>4</v>
      </c>
      <c r="N104" t="s">
        <v>388</v>
      </c>
      <c r="O104" t="s">
        <v>380</v>
      </c>
      <c r="P104" t="s">
        <v>428</v>
      </c>
      <c r="Q104">
        <v>31</v>
      </c>
      <c r="S104" s="2" t="s">
        <v>3</v>
      </c>
    </row>
    <row r="105" spans="1:19" ht="15" customHeight="1" x14ac:dyDescent="0.25">
      <c r="A105">
        <v>10226</v>
      </c>
      <c r="B105" t="s">
        <v>134</v>
      </c>
      <c r="C105" t="s">
        <v>1259</v>
      </c>
      <c r="D105" t="s">
        <v>7</v>
      </c>
      <c r="E105" t="s">
        <v>10</v>
      </c>
      <c r="F105" t="s">
        <v>590</v>
      </c>
      <c r="G105" t="s">
        <v>1374</v>
      </c>
      <c r="H105" t="s">
        <v>592</v>
      </c>
      <c r="I105" t="s">
        <v>431</v>
      </c>
      <c r="J105" t="s">
        <v>885</v>
      </c>
      <c r="L105" s="2">
        <v>0</v>
      </c>
      <c r="M105" s="2">
        <v>5</v>
      </c>
      <c r="N105" t="s">
        <v>388</v>
      </c>
      <c r="O105" t="s">
        <v>380</v>
      </c>
      <c r="P105" t="s">
        <v>428</v>
      </c>
      <c r="Q105">
        <v>801</v>
      </c>
      <c r="R105" t="s">
        <v>135</v>
      </c>
      <c r="S105" s="2" t="s">
        <v>3</v>
      </c>
    </row>
    <row r="106" spans="1:19" ht="15" customHeight="1" x14ac:dyDescent="0.25">
      <c r="A106">
        <v>1444</v>
      </c>
      <c r="B106" t="s">
        <v>55</v>
      </c>
      <c r="C106" t="s">
        <v>1260</v>
      </c>
      <c r="D106" t="s">
        <v>7</v>
      </c>
      <c r="E106" t="s">
        <v>10</v>
      </c>
      <c r="F106" t="s">
        <v>590</v>
      </c>
      <c r="G106" t="s">
        <v>988</v>
      </c>
      <c r="H106" t="s">
        <v>592</v>
      </c>
      <c r="I106" t="s">
        <v>989</v>
      </c>
      <c r="J106" t="s">
        <v>990</v>
      </c>
      <c r="L106" s="2">
        <v>0</v>
      </c>
      <c r="M106" s="2">
        <v>4</v>
      </c>
      <c r="N106" t="s">
        <v>388</v>
      </c>
      <c r="O106" t="s">
        <v>381</v>
      </c>
      <c r="P106" t="s">
        <v>381</v>
      </c>
      <c r="Q106">
        <v>157</v>
      </c>
      <c r="R106" t="s">
        <v>56</v>
      </c>
      <c r="S106" s="2" t="s">
        <v>3</v>
      </c>
    </row>
    <row r="107" spans="1:19" ht="15" customHeight="1" x14ac:dyDescent="0.25">
      <c r="A107">
        <v>1453</v>
      </c>
      <c r="B107" t="s">
        <v>59</v>
      </c>
      <c r="C107" t="s">
        <v>1261</v>
      </c>
      <c r="D107" t="s">
        <v>395</v>
      </c>
      <c r="E107" t="s">
        <v>10</v>
      </c>
      <c r="F107" t="s">
        <v>590</v>
      </c>
      <c r="G107" t="s">
        <v>648</v>
      </c>
      <c r="H107" t="s">
        <v>592</v>
      </c>
      <c r="I107" t="s">
        <v>445</v>
      </c>
      <c r="J107" t="s">
        <v>649</v>
      </c>
      <c r="L107" s="2">
        <v>0</v>
      </c>
      <c r="M107" s="2">
        <v>5</v>
      </c>
      <c r="N107" t="s">
        <v>388</v>
      </c>
      <c r="O107" t="s">
        <v>380</v>
      </c>
      <c r="P107" t="s">
        <v>432</v>
      </c>
      <c r="Q107">
        <v>136</v>
      </c>
      <c r="R107" t="s">
        <v>60</v>
      </c>
      <c r="S107" s="2" t="s">
        <v>3</v>
      </c>
    </row>
    <row r="108" spans="1:19" ht="15" customHeight="1" x14ac:dyDescent="0.25">
      <c r="A108">
        <v>1443</v>
      </c>
      <c r="B108" t="s">
        <v>53</v>
      </c>
      <c r="C108" t="s">
        <v>1262</v>
      </c>
      <c r="D108" t="s">
        <v>395</v>
      </c>
      <c r="E108" t="s">
        <v>10</v>
      </c>
      <c r="F108" t="s">
        <v>590</v>
      </c>
      <c r="G108" t="s">
        <v>693</v>
      </c>
      <c r="H108" t="s">
        <v>592</v>
      </c>
      <c r="I108" t="s">
        <v>459</v>
      </c>
      <c r="J108" t="s">
        <v>694</v>
      </c>
      <c r="L108" s="2">
        <v>0</v>
      </c>
      <c r="M108" s="2">
        <v>5</v>
      </c>
      <c r="N108" t="s">
        <v>388</v>
      </c>
      <c r="O108" t="s">
        <v>380</v>
      </c>
      <c r="P108" t="s">
        <v>432</v>
      </c>
      <c r="Q108">
        <v>404</v>
      </c>
      <c r="R108" t="s">
        <v>54</v>
      </c>
      <c r="S108" s="2" t="s">
        <v>3</v>
      </c>
    </row>
    <row r="109" spans="1:19" ht="15" customHeight="1" x14ac:dyDescent="0.25">
      <c r="A109">
        <v>19701</v>
      </c>
      <c r="B109" t="s">
        <v>188</v>
      </c>
      <c r="C109" t="s">
        <v>1263</v>
      </c>
      <c r="D109" t="s">
        <v>366</v>
      </c>
      <c r="E109" t="s">
        <v>10</v>
      </c>
      <c r="F109" t="s">
        <v>590</v>
      </c>
      <c r="G109" t="s">
        <v>794</v>
      </c>
      <c r="H109" t="s">
        <v>592</v>
      </c>
      <c r="I109" t="s">
        <v>487</v>
      </c>
      <c r="J109" t="s">
        <v>795</v>
      </c>
      <c r="L109" s="2">
        <v>0</v>
      </c>
      <c r="M109" s="2">
        <v>4</v>
      </c>
      <c r="N109" t="s">
        <v>388</v>
      </c>
      <c r="O109" t="s">
        <v>380</v>
      </c>
      <c r="P109" t="s">
        <v>432</v>
      </c>
      <c r="Q109">
        <v>712</v>
      </c>
      <c r="R109" t="s">
        <v>189</v>
      </c>
      <c r="S109" s="2" t="s">
        <v>3</v>
      </c>
    </row>
    <row r="110" spans="1:19" ht="15" customHeight="1" x14ac:dyDescent="0.25">
      <c r="A110">
        <v>1437</v>
      </c>
      <c r="B110" t="s">
        <v>49</v>
      </c>
      <c r="C110" t="s">
        <v>1264</v>
      </c>
      <c r="D110" t="s">
        <v>395</v>
      </c>
      <c r="E110" t="s">
        <v>10</v>
      </c>
      <c r="F110" t="s">
        <v>590</v>
      </c>
      <c r="G110" t="s">
        <v>823</v>
      </c>
      <c r="H110" t="s">
        <v>592</v>
      </c>
      <c r="I110" t="s">
        <v>496</v>
      </c>
      <c r="J110" t="s">
        <v>824</v>
      </c>
      <c r="L110" s="2">
        <v>0</v>
      </c>
      <c r="M110" s="2">
        <v>5</v>
      </c>
      <c r="N110" t="s">
        <v>388</v>
      </c>
      <c r="O110" t="s">
        <v>380</v>
      </c>
      <c r="P110" t="s">
        <v>432</v>
      </c>
      <c r="Q110">
        <v>115</v>
      </c>
      <c r="R110" t="s">
        <v>50</v>
      </c>
      <c r="S110" s="2" t="s">
        <v>3</v>
      </c>
    </row>
    <row r="111" spans="1:19" ht="15" customHeight="1" x14ac:dyDescent="0.25">
      <c r="A111">
        <v>1439</v>
      </c>
      <c r="B111" t="s">
        <v>51</v>
      </c>
      <c r="C111" t="s">
        <v>1265</v>
      </c>
      <c r="D111" t="s">
        <v>395</v>
      </c>
      <c r="E111" t="s">
        <v>10</v>
      </c>
      <c r="F111" t="s">
        <v>590</v>
      </c>
      <c r="G111" t="s">
        <v>865</v>
      </c>
      <c r="H111" t="s">
        <v>592</v>
      </c>
      <c r="I111" t="s">
        <v>866</v>
      </c>
      <c r="J111" t="s">
        <v>867</v>
      </c>
      <c r="L111" s="2">
        <v>0</v>
      </c>
      <c r="M111" s="2">
        <v>3</v>
      </c>
      <c r="N111" t="s">
        <v>388</v>
      </c>
      <c r="O111" t="s">
        <v>381</v>
      </c>
      <c r="P111" t="s">
        <v>381</v>
      </c>
      <c r="Q111">
        <v>112</v>
      </c>
      <c r="R111" t="s">
        <v>52</v>
      </c>
      <c r="S111" s="2" t="s">
        <v>3</v>
      </c>
    </row>
    <row r="112" spans="1:19" ht="15" customHeight="1" x14ac:dyDescent="0.25">
      <c r="A112">
        <v>601055</v>
      </c>
      <c r="B112" t="s">
        <v>351</v>
      </c>
      <c r="C112" t="s">
        <v>1266</v>
      </c>
      <c r="D112" t="s">
        <v>7</v>
      </c>
      <c r="E112" t="s">
        <v>10</v>
      </c>
      <c r="F112" t="s">
        <v>590</v>
      </c>
      <c r="G112" t="s">
        <v>893</v>
      </c>
      <c r="H112" t="s">
        <v>894</v>
      </c>
      <c r="I112" t="s">
        <v>431</v>
      </c>
      <c r="J112" t="s">
        <v>895</v>
      </c>
      <c r="K112" s="9">
        <v>44524</v>
      </c>
      <c r="L112" s="7">
        <v>44524</v>
      </c>
      <c r="M112" s="2">
        <v>5</v>
      </c>
      <c r="N112" t="s">
        <v>388</v>
      </c>
      <c r="O112" t="s">
        <v>380</v>
      </c>
      <c r="P112" t="s">
        <v>428</v>
      </c>
      <c r="Q112">
        <v>462</v>
      </c>
      <c r="R112" t="s">
        <v>352</v>
      </c>
      <c r="S112" s="2" t="s">
        <v>3</v>
      </c>
    </row>
    <row r="113" spans="1:19" ht="15" customHeight="1" x14ac:dyDescent="0.25">
      <c r="A113">
        <v>601050</v>
      </c>
      <c r="B113" t="s">
        <v>349</v>
      </c>
      <c r="C113" t="s">
        <v>1267</v>
      </c>
      <c r="D113" t="s">
        <v>391</v>
      </c>
      <c r="E113" t="s">
        <v>10</v>
      </c>
      <c r="F113" t="s">
        <v>590</v>
      </c>
      <c r="G113" t="s">
        <v>896</v>
      </c>
      <c r="H113" t="s">
        <v>897</v>
      </c>
      <c r="I113" t="s">
        <v>431</v>
      </c>
      <c r="J113" t="s">
        <v>898</v>
      </c>
      <c r="K113" s="9">
        <v>44531</v>
      </c>
      <c r="L113" s="7">
        <v>44531</v>
      </c>
      <c r="M113" s="2">
        <v>5</v>
      </c>
      <c r="N113" t="s">
        <v>388</v>
      </c>
      <c r="O113" t="s">
        <v>380</v>
      </c>
      <c r="P113" t="s">
        <v>428</v>
      </c>
      <c r="Q113">
        <v>876</v>
      </c>
      <c r="R113" t="s">
        <v>350</v>
      </c>
      <c r="S113" s="2" t="s">
        <v>3</v>
      </c>
    </row>
    <row r="114" spans="1:19" ht="15" customHeight="1" x14ac:dyDescent="0.25">
      <c r="A114">
        <v>601057</v>
      </c>
      <c r="B114" t="s">
        <v>353</v>
      </c>
      <c r="C114" t="s">
        <v>1268</v>
      </c>
      <c r="D114" t="s">
        <v>7</v>
      </c>
      <c r="E114" t="s">
        <v>10</v>
      </c>
      <c r="F114" t="s">
        <v>590</v>
      </c>
      <c r="G114" t="s">
        <v>899</v>
      </c>
      <c r="H114" t="s">
        <v>900</v>
      </c>
      <c r="I114" t="s">
        <v>431</v>
      </c>
      <c r="J114" t="s">
        <v>901</v>
      </c>
      <c r="K114" s="9">
        <v>44617</v>
      </c>
      <c r="L114" s="7">
        <v>44617</v>
      </c>
      <c r="M114" s="2">
        <v>7</v>
      </c>
      <c r="N114" t="s">
        <v>388</v>
      </c>
      <c r="O114" t="s">
        <v>381</v>
      </c>
      <c r="P114" t="s">
        <v>381</v>
      </c>
      <c r="Q114">
        <v>472</v>
      </c>
      <c r="R114" t="s">
        <v>353</v>
      </c>
      <c r="S114" s="2" t="s">
        <v>3</v>
      </c>
    </row>
    <row r="115" spans="1:19" ht="15" customHeight="1" x14ac:dyDescent="0.25">
      <c r="A115">
        <v>19705</v>
      </c>
      <c r="B115" t="s">
        <v>190</v>
      </c>
      <c r="C115" t="s">
        <v>1270</v>
      </c>
      <c r="D115" t="s">
        <v>366</v>
      </c>
      <c r="E115" t="s">
        <v>10</v>
      </c>
      <c r="F115" t="s">
        <v>590</v>
      </c>
      <c r="G115" t="s">
        <v>1086</v>
      </c>
      <c r="H115" t="s">
        <v>592</v>
      </c>
      <c r="I115" t="s">
        <v>551</v>
      </c>
      <c r="J115" t="s">
        <v>1087</v>
      </c>
      <c r="L115" s="2">
        <v>0</v>
      </c>
      <c r="M115" s="2">
        <v>3</v>
      </c>
      <c r="N115" t="s">
        <v>388</v>
      </c>
      <c r="O115" t="s">
        <v>380</v>
      </c>
      <c r="P115" t="s">
        <v>432</v>
      </c>
      <c r="Q115">
        <v>713</v>
      </c>
      <c r="R115" t="s">
        <v>191</v>
      </c>
      <c r="S115" s="2" t="s">
        <v>3</v>
      </c>
    </row>
    <row r="116" spans="1:19" ht="15" customHeight="1" x14ac:dyDescent="0.25">
      <c r="A116">
        <v>1414</v>
      </c>
      <c r="B116" t="s">
        <v>21</v>
      </c>
      <c r="C116" t="s">
        <v>1271</v>
      </c>
      <c r="D116" t="s">
        <v>7</v>
      </c>
      <c r="E116" t="s">
        <v>10</v>
      </c>
      <c r="F116" t="s">
        <v>590</v>
      </c>
      <c r="G116" t="s">
        <v>1088</v>
      </c>
      <c r="H116" t="s">
        <v>592</v>
      </c>
      <c r="I116" t="s">
        <v>552</v>
      </c>
      <c r="J116" t="s">
        <v>1089</v>
      </c>
      <c r="L116" s="2">
        <v>0</v>
      </c>
      <c r="M116" s="2">
        <v>5</v>
      </c>
      <c r="N116" t="s">
        <v>388</v>
      </c>
      <c r="O116" t="s">
        <v>380</v>
      </c>
      <c r="P116" t="s">
        <v>432</v>
      </c>
      <c r="Q116">
        <v>13</v>
      </c>
      <c r="R116" t="s">
        <v>21</v>
      </c>
      <c r="S116" s="2" t="s">
        <v>3</v>
      </c>
    </row>
    <row r="117" spans="1:19" ht="15" customHeight="1" x14ac:dyDescent="0.25">
      <c r="A117">
        <v>31373</v>
      </c>
      <c r="B117" t="s">
        <v>242</v>
      </c>
      <c r="C117" t="s">
        <v>1272</v>
      </c>
      <c r="D117" t="s">
        <v>1278</v>
      </c>
      <c r="E117" t="s">
        <v>6</v>
      </c>
      <c r="F117" t="s">
        <v>594</v>
      </c>
      <c r="G117" t="s">
        <v>671</v>
      </c>
      <c r="H117" t="s">
        <v>592</v>
      </c>
      <c r="I117" t="s">
        <v>453</v>
      </c>
      <c r="J117" t="s">
        <v>672</v>
      </c>
      <c r="K117" s="9">
        <v>44277</v>
      </c>
      <c r="L117" s="7">
        <v>44277</v>
      </c>
      <c r="M117" s="2">
        <v>3</v>
      </c>
      <c r="N117" t="s">
        <v>389</v>
      </c>
      <c r="O117" t="s">
        <v>380</v>
      </c>
      <c r="P117" t="s">
        <v>432</v>
      </c>
      <c r="Q117">
        <v>838</v>
      </c>
      <c r="R117" t="s">
        <v>243</v>
      </c>
      <c r="S117" s="2" t="s">
        <v>3</v>
      </c>
    </row>
    <row r="118" spans="1:19" ht="15" customHeight="1" x14ac:dyDescent="0.25">
      <c r="A118">
        <v>31276</v>
      </c>
      <c r="B118" t="s">
        <v>238</v>
      </c>
      <c r="C118" t="s">
        <v>1273</v>
      </c>
      <c r="D118" t="s">
        <v>1278</v>
      </c>
      <c r="E118" t="s">
        <v>6</v>
      </c>
      <c r="F118" t="s">
        <v>594</v>
      </c>
      <c r="G118" t="s">
        <v>688</v>
      </c>
      <c r="H118" t="s">
        <v>592</v>
      </c>
      <c r="I118" t="s">
        <v>458</v>
      </c>
      <c r="J118" t="s">
        <v>689</v>
      </c>
      <c r="L118" s="2">
        <v>0</v>
      </c>
      <c r="M118" s="2">
        <v>5</v>
      </c>
      <c r="N118" t="s">
        <v>389</v>
      </c>
      <c r="O118" t="s">
        <v>380</v>
      </c>
      <c r="P118" t="s">
        <v>432</v>
      </c>
      <c r="Q118">
        <v>742</v>
      </c>
      <c r="R118" t="s">
        <v>239</v>
      </c>
      <c r="S118" s="2" t="s">
        <v>3</v>
      </c>
    </row>
    <row r="119" spans="1:19" ht="15" customHeight="1" x14ac:dyDescent="0.25">
      <c r="A119">
        <v>31226</v>
      </c>
      <c r="B119" t="s">
        <v>236</v>
      </c>
      <c r="C119" t="s">
        <v>1274</v>
      </c>
      <c r="D119" t="s">
        <v>1278</v>
      </c>
      <c r="E119" t="s">
        <v>6</v>
      </c>
      <c r="F119" t="s">
        <v>594</v>
      </c>
      <c r="G119" t="s">
        <v>741</v>
      </c>
      <c r="H119" t="s">
        <v>592</v>
      </c>
      <c r="I119" t="s">
        <v>473</v>
      </c>
      <c r="J119" t="s">
        <v>742</v>
      </c>
      <c r="L119" s="2">
        <v>0</v>
      </c>
      <c r="M119" s="2">
        <v>5</v>
      </c>
      <c r="N119" t="s">
        <v>389</v>
      </c>
      <c r="O119" t="s">
        <v>380</v>
      </c>
      <c r="P119" t="s">
        <v>432</v>
      </c>
      <c r="Q119">
        <v>743</v>
      </c>
      <c r="R119" t="s">
        <v>237</v>
      </c>
      <c r="S119" s="2" t="s">
        <v>3</v>
      </c>
    </row>
    <row r="120" spans="1:19" ht="15" customHeight="1" x14ac:dyDescent="0.25">
      <c r="A120">
        <v>3817</v>
      </c>
      <c r="B120" t="s">
        <v>94</v>
      </c>
      <c r="C120" t="s">
        <v>1275</v>
      </c>
      <c r="D120" t="s">
        <v>1278</v>
      </c>
      <c r="E120" t="s">
        <v>6</v>
      </c>
      <c r="F120" t="s">
        <v>594</v>
      </c>
      <c r="G120" t="s">
        <v>800</v>
      </c>
      <c r="H120" t="s">
        <v>640</v>
      </c>
      <c r="I120" t="s">
        <v>490</v>
      </c>
      <c r="J120" t="s">
        <v>801</v>
      </c>
      <c r="L120" s="2">
        <v>0</v>
      </c>
      <c r="M120" s="2">
        <v>5</v>
      </c>
      <c r="N120" t="s">
        <v>389</v>
      </c>
      <c r="O120" t="s">
        <v>380</v>
      </c>
      <c r="P120" t="s">
        <v>432</v>
      </c>
      <c r="Q120">
        <v>208</v>
      </c>
      <c r="R120" t="s">
        <v>95</v>
      </c>
      <c r="S120" s="2" t="s">
        <v>3</v>
      </c>
    </row>
    <row r="121" spans="1:19" ht="15" customHeight="1" x14ac:dyDescent="0.25">
      <c r="A121">
        <v>3800</v>
      </c>
      <c r="B121" t="s">
        <v>89</v>
      </c>
      <c r="C121" t="s">
        <v>1276</v>
      </c>
      <c r="D121" t="s">
        <v>1278</v>
      </c>
      <c r="E121" t="s">
        <v>6</v>
      </c>
      <c r="F121" t="s">
        <v>594</v>
      </c>
      <c r="G121" t="s">
        <v>813</v>
      </c>
      <c r="H121" t="s">
        <v>814</v>
      </c>
      <c r="I121" t="s">
        <v>495</v>
      </c>
      <c r="J121" t="s">
        <v>815</v>
      </c>
      <c r="L121" s="2">
        <v>0</v>
      </c>
      <c r="M121" s="2">
        <v>4</v>
      </c>
      <c r="N121" t="s">
        <v>389</v>
      </c>
      <c r="O121" t="s">
        <v>380</v>
      </c>
      <c r="P121" t="s">
        <v>428</v>
      </c>
      <c r="Q121">
        <v>96</v>
      </c>
      <c r="R121" t="s">
        <v>90</v>
      </c>
      <c r="S121" s="2" t="s">
        <v>3</v>
      </c>
    </row>
    <row r="122" spans="1:19" ht="15" customHeight="1" x14ac:dyDescent="0.25">
      <c r="A122">
        <v>3827</v>
      </c>
      <c r="B122" t="s">
        <v>96</v>
      </c>
      <c r="C122" t="s">
        <v>1277</v>
      </c>
      <c r="D122" t="s">
        <v>1278</v>
      </c>
      <c r="E122" t="s">
        <v>6</v>
      </c>
      <c r="F122" t="s">
        <v>594</v>
      </c>
      <c r="G122" t="s">
        <v>1375</v>
      </c>
      <c r="H122" t="s">
        <v>814</v>
      </c>
      <c r="I122" t="s">
        <v>495</v>
      </c>
      <c r="J122" t="s">
        <v>816</v>
      </c>
      <c r="L122" s="2">
        <v>0</v>
      </c>
      <c r="M122" s="2">
        <v>4</v>
      </c>
      <c r="N122" t="s">
        <v>389</v>
      </c>
      <c r="O122" t="s">
        <v>380</v>
      </c>
      <c r="P122" t="s">
        <v>428</v>
      </c>
      <c r="Q122">
        <v>431</v>
      </c>
      <c r="R122" t="s">
        <v>97</v>
      </c>
      <c r="S122" s="2" t="s">
        <v>3</v>
      </c>
    </row>
    <row r="123" spans="1:19" ht="15" customHeight="1" x14ac:dyDescent="0.25">
      <c r="A123">
        <v>31353</v>
      </c>
      <c r="B123" t="s">
        <v>1435</v>
      </c>
      <c r="C123" t="s">
        <v>1172</v>
      </c>
      <c r="D123" t="s">
        <v>1278</v>
      </c>
      <c r="E123" t="s">
        <v>6</v>
      </c>
      <c r="F123" t="s">
        <v>594</v>
      </c>
      <c r="G123" t="s">
        <v>1063</v>
      </c>
      <c r="H123" t="s">
        <v>592</v>
      </c>
      <c r="I123" t="s">
        <v>547</v>
      </c>
      <c r="J123" t="s">
        <v>1064</v>
      </c>
      <c r="K123" s="9">
        <v>44095</v>
      </c>
      <c r="L123" s="7">
        <v>44095</v>
      </c>
      <c r="M123" s="2">
        <v>5</v>
      </c>
      <c r="N123" t="s">
        <v>389</v>
      </c>
      <c r="O123" t="s">
        <v>380</v>
      </c>
      <c r="P123" t="s">
        <v>432</v>
      </c>
      <c r="Q123">
        <v>752</v>
      </c>
      <c r="R123" t="s">
        <v>241</v>
      </c>
      <c r="S123" s="2" t="s">
        <v>3</v>
      </c>
    </row>
    <row r="124" spans="1:19" ht="15" customHeight="1" x14ac:dyDescent="0.25">
      <c r="A124">
        <v>200020</v>
      </c>
      <c r="B124" t="s">
        <v>320</v>
      </c>
      <c r="C124" t="s">
        <v>1278</v>
      </c>
      <c r="D124" t="s">
        <v>1278</v>
      </c>
      <c r="E124" t="s">
        <v>6</v>
      </c>
      <c r="F124" t="s">
        <v>594</v>
      </c>
      <c r="G124" t="s">
        <v>1398</v>
      </c>
      <c r="H124" t="s">
        <v>1082</v>
      </c>
      <c r="I124" t="s">
        <v>549</v>
      </c>
      <c r="J124" t="s">
        <v>1399</v>
      </c>
      <c r="K124" s="9">
        <v>44523</v>
      </c>
      <c r="L124" s="7">
        <v>44523</v>
      </c>
      <c r="M124" s="2">
        <v>4</v>
      </c>
      <c r="N124" t="s">
        <v>389</v>
      </c>
      <c r="O124" t="s">
        <v>380</v>
      </c>
      <c r="P124" t="s">
        <v>432</v>
      </c>
      <c r="Q124">
        <v>870</v>
      </c>
      <c r="R124" t="s">
        <v>321</v>
      </c>
      <c r="S124" s="2" t="s">
        <v>3</v>
      </c>
    </row>
    <row r="125" spans="1:19" ht="15" customHeight="1" x14ac:dyDescent="0.25">
      <c r="A125">
        <v>1436</v>
      </c>
      <c r="B125" t="s">
        <v>48</v>
      </c>
      <c r="C125" t="s">
        <v>1279</v>
      </c>
      <c r="D125" t="s">
        <v>67</v>
      </c>
      <c r="E125" t="s">
        <v>10</v>
      </c>
      <c r="F125" t="s">
        <v>590</v>
      </c>
      <c r="G125" t="s">
        <v>657</v>
      </c>
      <c r="H125" t="s">
        <v>592</v>
      </c>
      <c r="I125" t="s">
        <v>448</v>
      </c>
      <c r="J125" t="s">
        <v>658</v>
      </c>
      <c r="L125" s="2">
        <v>0</v>
      </c>
      <c r="M125" s="2">
        <v>3</v>
      </c>
      <c r="N125" t="s">
        <v>388</v>
      </c>
      <c r="O125" t="s">
        <v>380</v>
      </c>
      <c r="P125" t="s">
        <v>432</v>
      </c>
      <c r="Q125">
        <v>111</v>
      </c>
      <c r="R125" t="s">
        <v>48</v>
      </c>
      <c r="S125" s="2" t="s">
        <v>3</v>
      </c>
    </row>
    <row r="126" spans="1:19" ht="15" customHeight="1" x14ac:dyDescent="0.25">
      <c r="A126">
        <v>19707</v>
      </c>
      <c r="B126" t="s">
        <v>192</v>
      </c>
      <c r="C126" t="s">
        <v>1280</v>
      </c>
      <c r="D126" t="s">
        <v>67</v>
      </c>
      <c r="E126" t="s">
        <v>10</v>
      </c>
      <c r="F126" t="s">
        <v>590</v>
      </c>
      <c r="G126" t="s">
        <v>673</v>
      </c>
      <c r="H126" t="s">
        <v>674</v>
      </c>
      <c r="I126" t="s">
        <v>454</v>
      </c>
      <c r="J126" t="s">
        <v>675</v>
      </c>
      <c r="L126" s="2">
        <v>0</v>
      </c>
      <c r="M126" s="2">
        <v>3</v>
      </c>
      <c r="N126" t="s">
        <v>388</v>
      </c>
      <c r="O126" t="s">
        <v>380</v>
      </c>
      <c r="P126" t="s">
        <v>432</v>
      </c>
      <c r="Q126">
        <v>714</v>
      </c>
      <c r="R126" t="s">
        <v>193</v>
      </c>
      <c r="S126" s="2" t="s">
        <v>3</v>
      </c>
    </row>
    <row r="127" spans="1:19" ht="15" customHeight="1" x14ac:dyDescent="0.25">
      <c r="A127">
        <v>1478</v>
      </c>
      <c r="B127" t="s">
        <v>65</v>
      </c>
      <c r="C127" t="s">
        <v>1281</v>
      </c>
      <c r="D127" t="s">
        <v>67</v>
      </c>
      <c r="E127" t="s">
        <v>10</v>
      </c>
      <c r="F127" t="s">
        <v>590</v>
      </c>
      <c r="G127" t="s">
        <v>859</v>
      </c>
      <c r="H127" t="s">
        <v>592</v>
      </c>
      <c r="I127" t="s">
        <v>508</v>
      </c>
      <c r="J127" t="s">
        <v>860</v>
      </c>
      <c r="L127" s="2">
        <v>0</v>
      </c>
      <c r="M127" s="2">
        <v>5</v>
      </c>
      <c r="N127" t="s">
        <v>388</v>
      </c>
      <c r="O127" t="s">
        <v>380</v>
      </c>
      <c r="P127" t="s">
        <v>432</v>
      </c>
      <c r="Q127">
        <v>39</v>
      </c>
      <c r="R127" t="s">
        <v>66</v>
      </c>
      <c r="S127" s="2" t="s">
        <v>3</v>
      </c>
    </row>
    <row r="128" spans="1:19" ht="15" customHeight="1" x14ac:dyDescent="0.25">
      <c r="A128">
        <v>10200</v>
      </c>
      <c r="B128" t="s">
        <v>131</v>
      </c>
      <c r="C128" t="s">
        <v>1172</v>
      </c>
      <c r="D128" t="s">
        <v>67</v>
      </c>
      <c r="E128" t="s">
        <v>10</v>
      </c>
      <c r="F128" t="s">
        <v>590</v>
      </c>
      <c r="G128" t="s">
        <v>927</v>
      </c>
      <c r="H128" t="s">
        <v>592</v>
      </c>
      <c r="I128" t="s">
        <v>517</v>
      </c>
      <c r="J128" t="s">
        <v>928</v>
      </c>
      <c r="L128" s="2">
        <v>0</v>
      </c>
      <c r="M128" s="2">
        <v>3</v>
      </c>
      <c r="N128" t="s">
        <v>388</v>
      </c>
      <c r="O128" t="s">
        <v>380</v>
      </c>
      <c r="P128" t="s">
        <v>432</v>
      </c>
      <c r="Q128">
        <v>419</v>
      </c>
      <c r="R128" t="s">
        <v>132</v>
      </c>
      <c r="S128" s="2" t="s">
        <v>3</v>
      </c>
    </row>
    <row r="129" spans="1:20" ht="15" customHeight="1" x14ac:dyDescent="0.25">
      <c r="A129">
        <v>1490</v>
      </c>
      <c r="B129" t="s">
        <v>72</v>
      </c>
      <c r="C129" t="s">
        <v>1172</v>
      </c>
      <c r="D129" t="s">
        <v>67</v>
      </c>
      <c r="E129" t="s">
        <v>10</v>
      </c>
      <c r="F129" t="s">
        <v>590</v>
      </c>
      <c r="G129" t="s">
        <v>1376</v>
      </c>
      <c r="H129" t="s">
        <v>1005</v>
      </c>
      <c r="I129" t="s">
        <v>535</v>
      </c>
      <c r="J129" t="s">
        <v>1006</v>
      </c>
      <c r="L129" s="2">
        <v>0</v>
      </c>
      <c r="M129" s="2">
        <v>3</v>
      </c>
      <c r="N129" t="s">
        <v>388</v>
      </c>
      <c r="O129" t="s">
        <v>380</v>
      </c>
      <c r="P129" t="s">
        <v>432</v>
      </c>
      <c r="Q129">
        <v>205</v>
      </c>
      <c r="R129" t="s">
        <v>73</v>
      </c>
      <c r="S129" s="2" t="s">
        <v>3</v>
      </c>
    </row>
    <row r="130" spans="1:20" ht="15" customHeight="1" x14ac:dyDescent="0.25">
      <c r="A130">
        <v>1422</v>
      </c>
      <c r="B130" t="s">
        <v>34</v>
      </c>
      <c r="C130" t="s">
        <v>1282</v>
      </c>
      <c r="D130" t="s">
        <v>67</v>
      </c>
      <c r="E130" t="s">
        <v>10</v>
      </c>
      <c r="F130" t="s">
        <v>590</v>
      </c>
      <c r="G130" t="s">
        <v>1053</v>
      </c>
      <c r="H130" t="s">
        <v>592</v>
      </c>
      <c r="I130" t="s">
        <v>1054</v>
      </c>
      <c r="J130" t="s">
        <v>1055</v>
      </c>
      <c r="L130" s="2">
        <v>0</v>
      </c>
      <c r="M130" s="2">
        <v>3</v>
      </c>
      <c r="N130" t="s">
        <v>388</v>
      </c>
      <c r="O130" t="s">
        <v>381</v>
      </c>
      <c r="P130" t="s">
        <v>381</v>
      </c>
      <c r="Q130">
        <v>54</v>
      </c>
      <c r="R130" t="s">
        <v>35</v>
      </c>
      <c r="S130" s="2" t="s">
        <v>3</v>
      </c>
    </row>
    <row r="131" spans="1:20" ht="15" customHeight="1" x14ac:dyDescent="0.25">
      <c r="A131">
        <v>9366</v>
      </c>
      <c r="B131" t="s">
        <v>126</v>
      </c>
      <c r="C131" t="s">
        <v>1283</v>
      </c>
      <c r="D131" t="s">
        <v>398</v>
      </c>
      <c r="E131" t="s">
        <v>122</v>
      </c>
      <c r="F131" t="s">
        <v>729</v>
      </c>
      <c r="G131" t="s">
        <v>730</v>
      </c>
      <c r="H131" t="s">
        <v>731</v>
      </c>
      <c r="I131" t="s">
        <v>472</v>
      </c>
      <c r="J131" t="s">
        <v>732</v>
      </c>
      <c r="K131" s="9">
        <v>44214</v>
      </c>
      <c r="L131" s="7">
        <v>44214</v>
      </c>
      <c r="M131" s="2">
        <v>3</v>
      </c>
      <c r="N131" t="s">
        <v>388</v>
      </c>
      <c r="O131" t="s">
        <v>380</v>
      </c>
      <c r="P131" t="s">
        <v>428</v>
      </c>
      <c r="Q131">
        <v>827</v>
      </c>
      <c r="R131" t="s">
        <v>127</v>
      </c>
      <c r="S131" s="2" t="s">
        <v>3</v>
      </c>
    </row>
    <row r="132" spans="1:20" ht="15" customHeight="1" x14ac:dyDescent="0.25">
      <c r="A132">
        <v>90900</v>
      </c>
      <c r="B132" t="s">
        <v>317</v>
      </c>
      <c r="C132" t="s">
        <v>1284</v>
      </c>
      <c r="D132" t="s">
        <v>398</v>
      </c>
      <c r="E132" t="s">
        <v>122</v>
      </c>
      <c r="F132" t="s">
        <v>729</v>
      </c>
      <c r="G132" t="s">
        <v>733</v>
      </c>
      <c r="H132" t="s">
        <v>592</v>
      </c>
      <c r="I132" t="s">
        <v>472</v>
      </c>
      <c r="J132" t="s">
        <v>734</v>
      </c>
      <c r="L132" s="2">
        <v>0</v>
      </c>
      <c r="M132" s="2">
        <v>6</v>
      </c>
      <c r="N132" t="s">
        <v>388</v>
      </c>
      <c r="O132" t="s">
        <v>380</v>
      </c>
      <c r="P132" t="s">
        <v>428</v>
      </c>
      <c r="Q132">
        <v>186</v>
      </c>
      <c r="R132" t="s">
        <v>318</v>
      </c>
      <c r="S132" s="2" t="s">
        <v>3</v>
      </c>
      <c r="T132" t="s">
        <v>3</v>
      </c>
    </row>
    <row r="133" spans="1:20" ht="15" customHeight="1" x14ac:dyDescent="0.25">
      <c r="A133">
        <v>9370</v>
      </c>
      <c r="B133" t="s">
        <v>130</v>
      </c>
      <c r="C133" t="s">
        <v>1285</v>
      </c>
      <c r="D133" t="s">
        <v>398</v>
      </c>
      <c r="E133" t="s">
        <v>122</v>
      </c>
      <c r="F133" t="s">
        <v>729</v>
      </c>
      <c r="G133" t="s">
        <v>735</v>
      </c>
      <c r="H133" t="s">
        <v>736</v>
      </c>
      <c r="I133" t="s">
        <v>472</v>
      </c>
      <c r="J133" t="s">
        <v>737</v>
      </c>
      <c r="K133" s="9">
        <v>44270</v>
      </c>
      <c r="L133" s="7">
        <v>44270</v>
      </c>
      <c r="M133" s="2">
        <v>3</v>
      </c>
      <c r="N133" t="s">
        <v>388</v>
      </c>
      <c r="O133" t="s">
        <v>380</v>
      </c>
      <c r="P133" t="s">
        <v>428</v>
      </c>
      <c r="Q133">
        <v>839</v>
      </c>
      <c r="R133" t="s">
        <v>130</v>
      </c>
      <c r="S133" s="2" t="s">
        <v>3</v>
      </c>
    </row>
    <row r="134" spans="1:20" ht="15" customHeight="1" x14ac:dyDescent="0.25">
      <c r="A134">
        <v>9368</v>
      </c>
      <c r="B134" t="s">
        <v>128</v>
      </c>
      <c r="C134" t="s">
        <v>1172</v>
      </c>
      <c r="D134" t="s">
        <v>398</v>
      </c>
      <c r="E134" t="s">
        <v>122</v>
      </c>
      <c r="F134" t="s">
        <v>729</v>
      </c>
      <c r="G134" t="s">
        <v>738</v>
      </c>
      <c r="H134" t="s">
        <v>739</v>
      </c>
      <c r="I134" t="s">
        <v>472</v>
      </c>
      <c r="J134" t="s">
        <v>740</v>
      </c>
      <c r="K134" s="9">
        <v>44230</v>
      </c>
      <c r="L134" s="7">
        <v>44230</v>
      </c>
      <c r="M134" s="2">
        <v>4</v>
      </c>
      <c r="N134" t="s">
        <v>388</v>
      </c>
      <c r="O134" t="s">
        <v>380</v>
      </c>
      <c r="P134" t="s">
        <v>428</v>
      </c>
      <c r="Q134">
        <v>833</v>
      </c>
      <c r="R134" t="s">
        <v>129</v>
      </c>
      <c r="S134" s="2" t="s">
        <v>3</v>
      </c>
    </row>
    <row r="135" spans="1:20" ht="15" customHeight="1" x14ac:dyDescent="0.25">
      <c r="A135">
        <v>7747</v>
      </c>
      <c r="B135" t="s">
        <v>110</v>
      </c>
      <c r="C135" t="s">
        <v>1286</v>
      </c>
      <c r="D135" t="s">
        <v>401</v>
      </c>
      <c r="E135" t="s">
        <v>122</v>
      </c>
      <c r="F135" t="s">
        <v>937</v>
      </c>
      <c r="G135" t="s">
        <v>938</v>
      </c>
      <c r="H135" t="s">
        <v>939</v>
      </c>
      <c r="I135" t="s">
        <v>519</v>
      </c>
      <c r="J135" t="s">
        <v>940</v>
      </c>
      <c r="L135" s="2">
        <v>0</v>
      </c>
      <c r="M135" s="2">
        <v>3</v>
      </c>
      <c r="N135" t="s">
        <v>388</v>
      </c>
      <c r="O135" t="s">
        <v>380</v>
      </c>
      <c r="P135" t="s">
        <v>428</v>
      </c>
      <c r="Q135">
        <v>825</v>
      </c>
      <c r="R135" t="s">
        <v>111</v>
      </c>
      <c r="S135" s="2" t="s">
        <v>3</v>
      </c>
    </row>
    <row r="136" spans="1:20" ht="15" customHeight="1" x14ac:dyDescent="0.25">
      <c r="A136">
        <v>7800</v>
      </c>
      <c r="B136" t="s">
        <v>371</v>
      </c>
      <c r="C136" t="s">
        <v>1287</v>
      </c>
      <c r="D136" t="s">
        <v>401</v>
      </c>
      <c r="E136" t="s">
        <v>122</v>
      </c>
      <c r="F136" t="s">
        <v>937</v>
      </c>
      <c r="G136" t="s">
        <v>941</v>
      </c>
      <c r="H136" t="s">
        <v>942</v>
      </c>
      <c r="I136" t="s">
        <v>519</v>
      </c>
      <c r="J136" t="s">
        <v>943</v>
      </c>
      <c r="L136" s="2">
        <v>0</v>
      </c>
      <c r="M136" s="2">
        <v>4</v>
      </c>
      <c r="N136" t="s">
        <v>388</v>
      </c>
      <c r="O136" t="s">
        <v>380</v>
      </c>
      <c r="P136" t="s">
        <v>428</v>
      </c>
      <c r="Q136">
        <v>722</v>
      </c>
      <c r="R136" t="s">
        <v>115</v>
      </c>
      <c r="S136" s="2" t="s">
        <v>3</v>
      </c>
    </row>
    <row r="137" spans="1:20" ht="15" customHeight="1" x14ac:dyDescent="0.25">
      <c r="A137">
        <v>7748</v>
      </c>
      <c r="B137" t="s">
        <v>113</v>
      </c>
      <c r="C137" t="s">
        <v>1288</v>
      </c>
      <c r="D137" t="s">
        <v>401</v>
      </c>
      <c r="E137" t="s">
        <v>122</v>
      </c>
      <c r="F137" t="s">
        <v>937</v>
      </c>
      <c r="G137" t="s">
        <v>944</v>
      </c>
      <c r="H137" t="s">
        <v>945</v>
      </c>
      <c r="I137" t="s">
        <v>519</v>
      </c>
      <c r="J137" t="s">
        <v>946</v>
      </c>
      <c r="L137" s="2">
        <v>0</v>
      </c>
      <c r="M137" s="2">
        <v>5</v>
      </c>
      <c r="N137" t="s">
        <v>388</v>
      </c>
      <c r="O137" t="s">
        <v>380</v>
      </c>
      <c r="P137" t="s">
        <v>428</v>
      </c>
      <c r="Q137">
        <v>828</v>
      </c>
      <c r="R137" t="s">
        <v>114</v>
      </c>
      <c r="S137" s="2" t="s">
        <v>3</v>
      </c>
    </row>
    <row r="138" spans="1:20" ht="15" customHeight="1" x14ac:dyDescent="0.25">
      <c r="A138">
        <v>94438</v>
      </c>
      <c r="B138" t="s">
        <v>1121</v>
      </c>
      <c r="C138" t="s">
        <v>1289</v>
      </c>
      <c r="D138" t="s">
        <v>401</v>
      </c>
      <c r="E138" t="s">
        <v>122</v>
      </c>
      <c r="F138" t="s">
        <v>1140</v>
      </c>
      <c r="G138" t="s">
        <v>1148</v>
      </c>
      <c r="H138" t="s">
        <v>592</v>
      </c>
      <c r="I138" t="s">
        <v>1146</v>
      </c>
      <c r="M138" s="2">
        <v>3</v>
      </c>
      <c r="O138" t="s">
        <v>380</v>
      </c>
      <c r="P138" t="s">
        <v>428</v>
      </c>
      <c r="Q138">
        <v>511</v>
      </c>
      <c r="R138" t="s">
        <v>1122</v>
      </c>
      <c r="S138" s="2" t="s">
        <v>3</v>
      </c>
    </row>
    <row r="139" spans="1:20" ht="15" customHeight="1" x14ac:dyDescent="0.25">
      <c r="A139">
        <v>7900</v>
      </c>
      <c r="B139" t="s">
        <v>118</v>
      </c>
      <c r="C139" t="s">
        <v>1290</v>
      </c>
      <c r="D139" t="s">
        <v>401</v>
      </c>
      <c r="E139" t="s">
        <v>122</v>
      </c>
      <c r="F139" t="s">
        <v>937</v>
      </c>
      <c r="G139" t="s">
        <v>947</v>
      </c>
      <c r="H139" t="s">
        <v>948</v>
      </c>
      <c r="I139" t="s">
        <v>519</v>
      </c>
      <c r="J139" t="s">
        <v>949</v>
      </c>
      <c r="L139" s="2">
        <v>0</v>
      </c>
      <c r="M139" s="2">
        <v>7</v>
      </c>
      <c r="N139" t="s">
        <v>388</v>
      </c>
      <c r="O139" t="s">
        <v>380</v>
      </c>
      <c r="P139" t="s">
        <v>428</v>
      </c>
      <c r="Q139">
        <v>126</v>
      </c>
      <c r="R139" t="s">
        <v>119</v>
      </c>
      <c r="S139" s="2" t="s">
        <v>3</v>
      </c>
      <c r="T139" t="s">
        <v>3</v>
      </c>
    </row>
    <row r="140" spans="1:20" ht="15" customHeight="1" x14ac:dyDescent="0.25">
      <c r="A140">
        <v>71002</v>
      </c>
      <c r="B140" t="s">
        <v>1439</v>
      </c>
      <c r="C140" t="s">
        <v>1291</v>
      </c>
      <c r="D140" t="s">
        <v>401</v>
      </c>
      <c r="E140" t="s">
        <v>122</v>
      </c>
      <c r="F140" t="s">
        <v>937</v>
      </c>
      <c r="G140" t="s">
        <v>947</v>
      </c>
      <c r="H140" t="s">
        <v>950</v>
      </c>
      <c r="I140" t="s">
        <v>519</v>
      </c>
      <c r="J140" t="s">
        <v>949</v>
      </c>
      <c r="L140" s="2">
        <v>0</v>
      </c>
      <c r="M140" s="2">
        <v>7</v>
      </c>
      <c r="N140" t="s">
        <v>388</v>
      </c>
      <c r="O140" t="s">
        <v>380</v>
      </c>
      <c r="P140" t="s">
        <v>428</v>
      </c>
      <c r="Q140">
        <v>845</v>
      </c>
      <c r="R140" t="s">
        <v>312</v>
      </c>
      <c r="S140" s="2" t="s">
        <v>3</v>
      </c>
    </row>
    <row r="141" spans="1:20" ht="15" customHeight="1" x14ac:dyDescent="0.25">
      <c r="A141">
        <v>7815</v>
      </c>
      <c r="B141" t="s">
        <v>116</v>
      </c>
      <c r="C141" t="s">
        <v>1292</v>
      </c>
      <c r="D141" t="s">
        <v>401</v>
      </c>
      <c r="E141" t="s">
        <v>122</v>
      </c>
      <c r="F141" t="s">
        <v>937</v>
      </c>
      <c r="G141" t="s">
        <v>951</v>
      </c>
      <c r="H141" t="s">
        <v>952</v>
      </c>
      <c r="I141" t="s">
        <v>519</v>
      </c>
      <c r="J141" t="s">
        <v>953</v>
      </c>
      <c r="L141" s="2">
        <v>0</v>
      </c>
      <c r="M141" s="2">
        <v>4</v>
      </c>
      <c r="N141" t="s">
        <v>388</v>
      </c>
      <c r="O141" t="s">
        <v>380</v>
      </c>
      <c r="P141" t="s">
        <v>428</v>
      </c>
      <c r="Q141">
        <v>770</v>
      </c>
      <c r="R141" t="s">
        <v>117</v>
      </c>
      <c r="S141" s="2" t="s">
        <v>3</v>
      </c>
    </row>
    <row r="142" spans="1:20" ht="15" customHeight="1" x14ac:dyDescent="0.25">
      <c r="A142">
        <v>93826</v>
      </c>
      <c r="B142" t="s">
        <v>1111</v>
      </c>
      <c r="C142" t="s">
        <v>363</v>
      </c>
      <c r="D142" t="s">
        <v>401</v>
      </c>
      <c r="E142" t="s">
        <v>122</v>
      </c>
      <c r="F142" t="s">
        <v>1152</v>
      </c>
      <c r="G142" t="s">
        <v>1107</v>
      </c>
      <c r="H142" t="s">
        <v>592</v>
      </c>
      <c r="I142" t="s">
        <v>1109</v>
      </c>
      <c r="J142" t="s">
        <v>1108</v>
      </c>
      <c r="K142" s="9">
        <v>44883</v>
      </c>
      <c r="M142" s="2">
        <v>5</v>
      </c>
      <c r="O142" t="s">
        <v>380</v>
      </c>
      <c r="Q142">
        <v>504</v>
      </c>
      <c r="R142" t="s">
        <v>1110</v>
      </c>
      <c r="S142" s="2" t="s">
        <v>3</v>
      </c>
    </row>
    <row r="143" spans="1:20" ht="15" customHeight="1" x14ac:dyDescent="0.25">
      <c r="A143">
        <v>23001</v>
      </c>
      <c r="B143" t="s">
        <v>226</v>
      </c>
      <c r="C143" t="s">
        <v>1293</v>
      </c>
      <c r="D143" t="s">
        <v>401</v>
      </c>
      <c r="E143" t="s">
        <v>122</v>
      </c>
      <c r="F143" t="s">
        <v>808</v>
      </c>
      <c r="G143" t="s">
        <v>809</v>
      </c>
      <c r="H143" t="s">
        <v>592</v>
      </c>
      <c r="I143" t="s">
        <v>493</v>
      </c>
      <c r="J143" t="s">
        <v>810</v>
      </c>
      <c r="L143" s="2">
        <v>0</v>
      </c>
      <c r="M143" s="2">
        <v>4</v>
      </c>
      <c r="N143" t="s">
        <v>389</v>
      </c>
      <c r="O143" t="s">
        <v>380</v>
      </c>
      <c r="P143" t="s">
        <v>432</v>
      </c>
      <c r="Q143">
        <v>285</v>
      </c>
      <c r="R143" t="s">
        <v>227</v>
      </c>
      <c r="S143" s="2" t="s">
        <v>3</v>
      </c>
    </row>
    <row r="144" spans="1:20" ht="15" customHeight="1" x14ac:dyDescent="0.25">
      <c r="A144">
        <v>81006</v>
      </c>
      <c r="B144" t="s">
        <v>314</v>
      </c>
      <c r="C144" t="s">
        <v>1294</v>
      </c>
      <c r="D144" t="s">
        <v>1145</v>
      </c>
      <c r="E144" t="s">
        <v>122</v>
      </c>
      <c r="F144" t="s">
        <v>684</v>
      </c>
      <c r="G144" t="s">
        <v>1377</v>
      </c>
      <c r="H144" t="s">
        <v>904</v>
      </c>
      <c r="I144" t="s">
        <v>512</v>
      </c>
      <c r="J144" t="s">
        <v>905</v>
      </c>
      <c r="K144" s="9">
        <v>44285</v>
      </c>
      <c r="L144" s="7">
        <v>44285</v>
      </c>
      <c r="M144" s="2">
        <v>3</v>
      </c>
      <c r="N144" t="s">
        <v>389</v>
      </c>
      <c r="O144" t="s">
        <v>380</v>
      </c>
      <c r="P144" t="s">
        <v>428</v>
      </c>
      <c r="Q144">
        <v>822</v>
      </c>
      <c r="R144" t="s">
        <v>315</v>
      </c>
      <c r="S144" s="2" t="s">
        <v>3</v>
      </c>
    </row>
    <row r="145" spans="1:20" ht="15" customHeight="1" x14ac:dyDescent="0.25">
      <c r="A145">
        <v>18936</v>
      </c>
      <c r="B145" t="s">
        <v>184</v>
      </c>
      <c r="C145" t="s">
        <v>1295</v>
      </c>
      <c r="D145" t="s">
        <v>1145</v>
      </c>
      <c r="E145" t="s">
        <v>122</v>
      </c>
      <c r="F145" t="s">
        <v>629</v>
      </c>
      <c r="G145" t="s">
        <v>630</v>
      </c>
      <c r="H145" t="s">
        <v>592</v>
      </c>
      <c r="I145" t="s">
        <v>442</v>
      </c>
      <c r="J145" t="s">
        <v>631</v>
      </c>
      <c r="K145" s="9">
        <v>44361</v>
      </c>
      <c r="L145" s="7">
        <v>44361</v>
      </c>
      <c r="M145" s="2">
        <v>3</v>
      </c>
      <c r="N145" t="s">
        <v>389</v>
      </c>
      <c r="O145" t="s">
        <v>380</v>
      </c>
      <c r="P145" t="s">
        <v>432</v>
      </c>
      <c r="Q145">
        <v>824</v>
      </c>
      <c r="R145" t="s">
        <v>184</v>
      </c>
      <c r="S145" s="2" t="s">
        <v>3</v>
      </c>
    </row>
    <row r="146" spans="1:20" ht="15" customHeight="1" x14ac:dyDescent="0.25">
      <c r="A146">
        <v>18105</v>
      </c>
      <c r="B146" t="s">
        <v>180</v>
      </c>
      <c r="C146" t="s">
        <v>1296</v>
      </c>
      <c r="D146" t="s">
        <v>1145</v>
      </c>
      <c r="E146" t="s">
        <v>122</v>
      </c>
      <c r="F146" t="s">
        <v>629</v>
      </c>
      <c r="G146" t="s">
        <v>659</v>
      </c>
      <c r="H146" t="s">
        <v>592</v>
      </c>
      <c r="I146" t="s">
        <v>449</v>
      </c>
      <c r="J146" t="s">
        <v>660</v>
      </c>
      <c r="L146" s="2">
        <v>0</v>
      </c>
      <c r="M146" s="2">
        <v>4</v>
      </c>
      <c r="N146" t="s">
        <v>389</v>
      </c>
      <c r="O146" t="s">
        <v>380</v>
      </c>
      <c r="P146" t="s">
        <v>432</v>
      </c>
      <c r="Q146">
        <v>719</v>
      </c>
      <c r="R146" t="s">
        <v>181</v>
      </c>
      <c r="S146" s="2" t="s">
        <v>3</v>
      </c>
    </row>
    <row r="147" spans="1:20" ht="15" customHeight="1" x14ac:dyDescent="0.25">
      <c r="A147">
        <v>80969</v>
      </c>
      <c r="B147" t="s">
        <v>1440</v>
      </c>
      <c r="C147" t="s">
        <v>1297</v>
      </c>
      <c r="D147" t="s">
        <v>1145</v>
      </c>
      <c r="E147" t="s">
        <v>122</v>
      </c>
      <c r="F147" t="s">
        <v>684</v>
      </c>
      <c r="G147" t="s">
        <v>685</v>
      </c>
      <c r="H147" t="s">
        <v>686</v>
      </c>
      <c r="I147" t="s">
        <v>457</v>
      </c>
      <c r="J147" t="s">
        <v>687</v>
      </c>
      <c r="L147" s="2">
        <v>0</v>
      </c>
      <c r="M147" s="2">
        <v>4</v>
      </c>
      <c r="N147" t="s">
        <v>389</v>
      </c>
      <c r="O147" t="s">
        <v>380</v>
      </c>
      <c r="P147" t="s">
        <v>432</v>
      </c>
      <c r="Q147">
        <v>739</v>
      </c>
      <c r="R147" t="s">
        <v>313</v>
      </c>
      <c r="S147" s="2" t="s">
        <v>3</v>
      </c>
    </row>
    <row r="148" spans="1:20" ht="15" customHeight="1" x14ac:dyDescent="0.25">
      <c r="A148">
        <v>81075</v>
      </c>
      <c r="B148" t="s">
        <v>316</v>
      </c>
      <c r="C148" t="s">
        <v>1298</v>
      </c>
      <c r="D148" t="s">
        <v>1145</v>
      </c>
      <c r="E148" t="s">
        <v>122</v>
      </c>
      <c r="F148" t="s">
        <v>629</v>
      </c>
      <c r="G148" t="s">
        <v>777</v>
      </c>
      <c r="H148" t="s">
        <v>778</v>
      </c>
      <c r="I148" t="s">
        <v>483</v>
      </c>
      <c r="J148" t="s">
        <v>779</v>
      </c>
      <c r="K148" s="9">
        <v>44704</v>
      </c>
      <c r="L148" s="7">
        <v>44704</v>
      </c>
      <c r="M148" s="2">
        <v>4</v>
      </c>
      <c r="N148" t="s">
        <v>389</v>
      </c>
      <c r="O148" t="s">
        <v>381</v>
      </c>
      <c r="P148" t="s">
        <v>381</v>
      </c>
      <c r="Q148">
        <v>267</v>
      </c>
      <c r="R148" t="s">
        <v>183</v>
      </c>
      <c r="S148" s="2" t="s">
        <v>384</v>
      </c>
    </row>
    <row r="149" spans="1:20" ht="15" customHeight="1" x14ac:dyDescent="0.25">
      <c r="A149">
        <v>18900</v>
      </c>
      <c r="B149" t="s">
        <v>182</v>
      </c>
      <c r="C149" t="s">
        <v>1299</v>
      </c>
      <c r="D149" t="s">
        <v>1145</v>
      </c>
      <c r="E149" t="s">
        <v>122</v>
      </c>
      <c r="F149" t="s">
        <v>629</v>
      </c>
      <c r="G149" t="s">
        <v>780</v>
      </c>
      <c r="H149" t="s">
        <v>592</v>
      </c>
      <c r="I149" t="s">
        <v>483</v>
      </c>
      <c r="J149" t="s">
        <v>781</v>
      </c>
      <c r="L149" s="2">
        <v>0</v>
      </c>
      <c r="M149" s="2">
        <v>6</v>
      </c>
      <c r="N149" t="s">
        <v>389</v>
      </c>
      <c r="O149" t="s">
        <v>380</v>
      </c>
      <c r="P149" t="s">
        <v>428</v>
      </c>
      <c r="Q149">
        <v>267</v>
      </c>
      <c r="R149" t="s">
        <v>183</v>
      </c>
      <c r="S149" s="2" t="s">
        <v>3</v>
      </c>
      <c r="T149" t="s">
        <v>3</v>
      </c>
    </row>
    <row r="150" spans="1:20" ht="15" customHeight="1" x14ac:dyDescent="0.25">
      <c r="A150">
        <v>18937</v>
      </c>
      <c r="B150" t="s">
        <v>1436</v>
      </c>
      <c r="C150" t="s">
        <v>1300</v>
      </c>
      <c r="D150" t="s">
        <v>1145</v>
      </c>
      <c r="E150" t="s">
        <v>122</v>
      </c>
      <c r="F150" t="s">
        <v>629</v>
      </c>
      <c r="G150" t="s">
        <v>782</v>
      </c>
      <c r="H150" t="s">
        <v>783</v>
      </c>
      <c r="I150" t="s">
        <v>483</v>
      </c>
      <c r="J150" t="s">
        <v>784</v>
      </c>
      <c r="K150" s="9">
        <v>44419</v>
      </c>
      <c r="L150" s="7">
        <v>44419</v>
      </c>
      <c r="M150" s="2">
        <v>4</v>
      </c>
      <c r="N150" t="s">
        <v>389</v>
      </c>
      <c r="O150" t="s">
        <v>380</v>
      </c>
      <c r="P150" t="s">
        <v>428</v>
      </c>
      <c r="Q150">
        <v>864</v>
      </c>
      <c r="R150" t="s">
        <v>185</v>
      </c>
      <c r="S150" s="2" t="s">
        <v>3</v>
      </c>
    </row>
    <row r="151" spans="1:20" ht="15" customHeight="1" x14ac:dyDescent="0.25">
      <c r="A151">
        <v>14900</v>
      </c>
      <c r="B151" t="s">
        <v>1165</v>
      </c>
      <c r="C151" t="s">
        <v>1301</v>
      </c>
      <c r="D151" t="s">
        <v>1145</v>
      </c>
      <c r="E151" t="s">
        <v>122</v>
      </c>
      <c r="F151" t="s">
        <v>828</v>
      </c>
      <c r="G151" t="s">
        <v>829</v>
      </c>
      <c r="H151" t="s">
        <v>592</v>
      </c>
      <c r="I151" t="s">
        <v>497</v>
      </c>
      <c r="J151" t="s">
        <v>830</v>
      </c>
      <c r="L151" s="2">
        <v>0</v>
      </c>
      <c r="M151" s="2">
        <v>5</v>
      </c>
      <c r="N151" t="s">
        <v>389</v>
      </c>
      <c r="O151" t="s">
        <v>380</v>
      </c>
      <c r="P151" t="s">
        <v>428</v>
      </c>
      <c r="Q151">
        <v>281</v>
      </c>
      <c r="R151" t="s">
        <v>168</v>
      </c>
      <c r="S151" s="2" t="s">
        <v>3</v>
      </c>
    </row>
    <row r="152" spans="1:20" ht="15" customHeight="1" x14ac:dyDescent="0.25">
      <c r="A152">
        <v>14932</v>
      </c>
      <c r="B152" t="s">
        <v>1164</v>
      </c>
      <c r="C152" t="s">
        <v>1145</v>
      </c>
      <c r="D152" t="s">
        <v>1145</v>
      </c>
      <c r="E152" t="s">
        <v>122</v>
      </c>
      <c r="F152" t="s">
        <v>828</v>
      </c>
      <c r="G152" t="s">
        <v>831</v>
      </c>
      <c r="H152" t="s">
        <v>832</v>
      </c>
      <c r="I152" t="s">
        <v>497</v>
      </c>
      <c r="J152" t="s">
        <v>833</v>
      </c>
      <c r="L152" s="2">
        <v>0</v>
      </c>
      <c r="M152" s="2">
        <v>4</v>
      </c>
      <c r="N152" t="s">
        <v>389</v>
      </c>
      <c r="O152" t="s">
        <v>380</v>
      </c>
      <c r="P152" t="s">
        <v>428</v>
      </c>
      <c r="Q152">
        <v>737</v>
      </c>
      <c r="R152" t="s">
        <v>169</v>
      </c>
      <c r="S152" s="2" t="s">
        <v>3</v>
      </c>
      <c r="T152" t="s">
        <v>3</v>
      </c>
    </row>
    <row r="153" spans="1:20" ht="15" customHeight="1" x14ac:dyDescent="0.25">
      <c r="A153">
        <v>8399</v>
      </c>
      <c r="B153" t="s">
        <v>120</v>
      </c>
      <c r="C153" t="s">
        <v>1302</v>
      </c>
      <c r="D153" t="s">
        <v>1145</v>
      </c>
      <c r="E153" t="s">
        <v>122</v>
      </c>
      <c r="F153" t="s">
        <v>684</v>
      </c>
      <c r="G153" t="s">
        <v>906</v>
      </c>
      <c r="H153" t="s">
        <v>907</v>
      </c>
      <c r="I153" t="s">
        <v>512</v>
      </c>
      <c r="J153" t="s">
        <v>908</v>
      </c>
      <c r="L153" s="2">
        <v>0</v>
      </c>
      <c r="M153" s="2">
        <v>8</v>
      </c>
      <c r="N153" t="s">
        <v>389</v>
      </c>
      <c r="O153" t="s">
        <v>380</v>
      </c>
      <c r="P153" t="s">
        <v>428</v>
      </c>
      <c r="Q153">
        <v>75</v>
      </c>
      <c r="R153" t="s">
        <v>121</v>
      </c>
      <c r="S153" s="2" t="s">
        <v>3</v>
      </c>
      <c r="T153" t="s">
        <v>3</v>
      </c>
    </row>
    <row r="154" spans="1:20" ht="15" customHeight="1" x14ac:dyDescent="0.25">
      <c r="A154">
        <v>1498</v>
      </c>
      <c r="B154" t="s">
        <v>1127</v>
      </c>
      <c r="C154" t="s">
        <v>1303</v>
      </c>
      <c r="D154" t="s">
        <v>1124</v>
      </c>
      <c r="E154" t="s">
        <v>1123</v>
      </c>
      <c r="F154" t="s">
        <v>590</v>
      </c>
      <c r="G154" t="s">
        <v>886</v>
      </c>
      <c r="H154" t="s">
        <v>592</v>
      </c>
      <c r="I154" t="s">
        <v>431</v>
      </c>
      <c r="J154" t="s">
        <v>876</v>
      </c>
      <c r="L154" s="7" t="s">
        <v>413</v>
      </c>
      <c r="M154" s="2" t="s">
        <v>413</v>
      </c>
      <c r="N154" t="s">
        <v>388</v>
      </c>
      <c r="O154" t="s">
        <v>380</v>
      </c>
      <c r="P154" t="s">
        <v>432</v>
      </c>
      <c r="Q154">
        <v>211</v>
      </c>
      <c r="R154" t="s">
        <v>1390</v>
      </c>
      <c r="S154" s="2" t="s">
        <v>3</v>
      </c>
    </row>
    <row r="155" spans="1:20" ht="15" customHeight="1" x14ac:dyDescent="0.25">
      <c r="A155">
        <v>1493</v>
      </c>
      <c r="B155" t="s">
        <v>1128</v>
      </c>
      <c r="C155" t="s">
        <v>1304</v>
      </c>
      <c r="D155" t="s">
        <v>1124</v>
      </c>
      <c r="E155" t="s">
        <v>1123</v>
      </c>
      <c r="F155" t="s">
        <v>590</v>
      </c>
      <c r="G155" t="s">
        <v>887</v>
      </c>
      <c r="H155" t="s">
        <v>592</v>
      </c>
      <c r="I155" t="s">
        <v>431</v>
      </c>
      <c r="J155" t="s">
        <v>881</v>
      </c>
      <c r="L155" s="7" t="s">
        <v>413</v>
      </c>
      <c r="M155" s="2" t="s">
        <v>413</v>
      </c>
      <c r="N155" t="s">
        <v>388</v>
      </c>
      <c r="O155" t="s">
        <v>380</v>
      </c>
      <c r="P155" t="s">
        <v>432</v>
      </c>
      <c r="Q155">
        <v>866</v>
      </c>
      <c r="R155" t="s">
        <v>403</v>
      </c>
      <c r="S155" s="2" t="s">
        <v>3</v>
      </c>
    </row>
    <row r="156" spans="1:20" ht="15" customHeight="1" x14ac:dyDescent="0.25">
      <c r="A156">
        <v>1491</v>
      </c>
      <c r="B156" t="s">
        <v>1129</v>
      </c>
      <c r="C156" t="s">
        <v>1305</v>
      </c>
      <c r="D156" t="s">
        <v>1124</v>
      </c>
      <c r="E156" t="s">
        <v>1123</v>
      </c>
      <c r="F156" t="s">
        <v>590</v>
      </c>
      <c r="G156" t="s">
        <v>888</v>
      </c>
      <c r="H156" t="s">
        <v>640</v>
      </c>
      <c r="I156" t="s">
        <v>431</v>
      </c>
      <c r="J156" t="s">
        <v>885</v>
      </c>
      <c r="L156" s="7" t="s">
        <v>413</v>
      </c>
      <c r="M156" s="2" t="s">
        <v>413</v>
      </c>
      <c r="N156" t="s">
        <v>388</v>
      </c>
      <c r="O156" t="s">
        <v>380</v>
      </c>
      <c r="P156" t="s">
        <v>432</v>
      </c>
      <c r="Q156">
        <v>129</v>
      </c>
      <c r="R156" t="s">
        <v>1391</v>
      </c>
      <c r="S156" s="2" t="s">
        <v>3</v>
      </c>
    </row>
    <row r="157" spans="1:20" ht="15" customHeight="1" x14ac:dyDescent="0.25">
      <c r="A157">
        <v>1492</v>
      </c>
      <c r="B157" t="s">
        <v>1130</v>
      </c>
      <c r="C157" t="s">
        <v>1306</v>
      </c>
      <c r="D157" t="s">
        <v>1124</v>
      </c>
      <c r="E157" t="s">
        <v>1123</v>
      </c>
      <c r="F157" t="s">
        <v>590</v>
      </c>
      <c r="G157" t="s">
        <v>886</v>
      </c>
      <c r="H157" t="s">
        <v>592</v>
      </c>
      <c r="I157" t="s">
        <v>431</v>
      </c>
      <c r="J157" t="s">
        <v>876</v>
      </c>
      <c r="L157" s="7" t="s">
        <v>413</v>
      </c>
      <c r="M157" s="2" t="s">
        <v>413</v>
      </c>
      <c r="N157" t="s">
        <v>388</v>
      </c>
      <c r="O157" t="s">
        <v>380</v>
      </c>
      <c r="P157" t="s">
        <v>432</v>
      </c>
      <c r="Q157">
        <v>785</v>
      </c>
      <c r="R157" t="s">
        <v>405</v>
      </c>
      <c r="S157" s="2" t="s">
        <v>3</v>
      </c>
    </row>
    <row r="158" spans="1:20" ht="15" customHeight="1" x14ac:dyDescent="0.25">
      <c r="A158">
        <v>149400</v>
      </c>
      <c r="B158" t="s">
        <v>1131</v>
      </c>
      <c r="C158" t="s">
        <v>1307</v>
      </c>
      <c r="D158" t="s">
        <v>1456</v>
      </c>
      <c r="E158" t="s">
        <v>1123</v>
      </c>
      <c r="F158" t="s">
        <v>590</v>
      </c>
      <c r="G158" t="s">
        <v>886</v>
      </c>
      <c r="H158" t="s">
        <v>640</v>
      </c>
      <c r="I158" t="s">
        <v>431</v>
      </c>
      <c r="J158" t="s">
        <v>876</v>
      </c>
      <c r="L158" s="7" t="s">
        <v>413</v>
      </c>
      <c r="M158" s="2" t="s">
        <v>413</v>
      </c>
      <c r="N158" t="s">
        <v>388</v>
      </c>
      <c r="O158" t="s">
        <v>380</v>
      </c>
      <c r="P158" t="s">
        <v>432</v>
      </c>
      <c r="Q158">
        <v>793</v>
      </c>
      <c r="R158" t="s">
        <v>1392</v>
      </c>
      <c r="S158" s="2" t="s">
        <v>3</v>
      </c>
    </row>
    <row r="159" spans="1:20" ht="15" customHeight="1" x14ac:dyDescent="0.25">
      <c r="A159">
        <v>149800</v>
      </c>
      <c r="B159" t="s">
        <v>1132</v>
      </c>
      <c r="C159" t="s">
        <v>1308</v>
      </c>
      <c r="D159" t="s">
        <v>1124</v>
      </c>
      <c r="E159" t="s">
        <v>1123</v>
      </c>
      <c r="F159" t="s">
        <v>590</v>
      </c>
      <c r="G159" t="s">
        <v>889</v>
      </c>
      <c r="H159" t="s">
        <v>592</v>
      </c>
      <c r="I159" t="s">
        <v>431</v>
      </c>
      <c r="J159" t="s">
        <v>881</v>
      </c>
      <c r="L159" s="7" t="s">
        <v>413</v>
      </c>
      <c r="M159" s="2" t="s">
        <v>413</v>
      </c>
      <c r="N159" t="s">
        <v>388</v>
      </c>
      <c r="O159" t="s">
        <v>380</v>
      </c>
      <c r="P159" t="s">
        <v>432</v>
      </c>
      <c r="Q159">
        <v>874</v>
      </c>
      <c r="R159" t="s">
        <v>407</v>
      </c>
      <c r="S159" s="2" t="s">
        <v>3</v>
      </c>
    </row>
    <row r="160" spans="1:20" ht="15" customHeight="1" x14ac:dyDescent="0.25">
      <c r="A160">
        <v>149500</v>
      </c>
      <c r="B160" t="s">
        <v>1137</v>
      </c>
      <c r="C160" t="s">
        <v>1172</v>
      </c>
      <c r="D160" t="s">
        <v>1124</v>
      </c>
      <c r="E160" t="s">
        <v>1123</v>
      </c>
      <c r="F160" t="s">
        <v>590</v>
      </c>
      <c r="G160" t="s">
        <v>1149</v>
      </c>
      <c r="H160" t="s">
        <v>592</v>
      </c>
      <c r="I160" t="s">
        <v>431</v>
      </c>
      <c r="L160" s="7" t="s">
        <v>413</v>
      </c>
      <c r="M160" s="2" t="s">
        <v>413</v>
      </c>
      <c r="N160" t="s">
        <v>388</v>
      </c>
      <c r="O160" t="s">
        <v>380</v>
      </c>
      <c r="P160" t="s">
        <v>432</v>
      </c>
      <c r="Q160">
        <v>806</v>
      </c>
      <c r="R160" t="s">
        <v>422</v>
      </c>
      <c r="S160" s="2" t="s">
        <v>3</v>
      </c>
    </row>
    <row r="161" spans="1:20" ht="15" customHeight="1" x14ac:dyDescent="0.25">
      <c r="A161">
        <v>149700</v>
      </c>
      <c r="B161" t="s">
        <v>1133</v>
      </c>
      <c r="C161" t="s">
        <v>1172</v>
      </c>
      <c r="D161" t="s">
        <v>1124</v>
      </c>
      <c r="E161" t="s">
        <v>1123</v>
      </c>
      <c r="F161" t="s">
        <v>590</v>
      </c>
      <c r="G161" t="s">
        <v>890</v>
      </c>
      <c r="H161" t="s">
        <v>592</v>
      </c>
      <c r="I161" t="s">
        <v>431</v>
      </c>
      <c r="J161" t="s">
        <v>881</v>
      </c>
      <c r="L161" s="7" t="s">
        <v>413</v>
      </c>
      <c r="M161" s="2" t="s">
        <v>413</v>
      </c>
      <c r="N161" t="s">
        <v>388</v>
      </c>
      <c r="O161" t="s">
        <v>380</v>
      </c>
      <c r="P161" t="s">
        <v>432</v>
      </c>
      <c r="Q161">
        <v>872</v>
      </c>
      <c r="R161" t="s">
        <v>408</v>
      </c>
      <c r="S161" s="2" t="s">
        <v>3</v>
      </c>
    </row>
    <row r="162" spans="1:20" ht="15" customHeight="1" x14ac:dyDescent="0.25">
      <c r="A162">
        <v>1495</v>
      </c>
      <c r="B162" t="s">
        <v>1134</v>
      </c>
      <c r="C162" t="s">
        <v>1172</v>
      </c>
      <c r="D162" t="s">
        <v>1124</v>
      </c>
      <c r="E162" t="s">
        <v>1123</v>
      </c>
      <c r="F162" t="s">
        <v>590</v>
      </c>
      <c r="G162" t="s">
        <v>891</v>
      </c>
      <c r="H162" t="s">
        <v>592</v>
      </c>
      <c r="I162" t="s">
        <v>431</v>
      </c>
      <c r="J162" t="s">
        <v>892</v>
      </c>
      <c r="L162" s="7" t="s">
        <v>413</v>
      </c>
      <c r="M162" s="2" t="s">
        <v>413</v>
      </c>
      <c r="N162" t="s">
        <v>388</v>
      </c>
      <c r="O162" t="s">
        <v>380</v>
      </c>
      <c r="P162" t="s">
        <v>432</v>
      </c>
      <c r="Q162">
        <v>867</v>
      </c>
      <c r="R162" t="s">
        <v>409</v>
      </c>
      <c r="S162" s="2" t="s">
        <v>3</v>
      </c>
    </row>
    <row r="163" spans="1:20" ht="15" customHeight="1" x14ac:dyDescent="0.25">
      <c r="A163">
        <v>149600</v>
      </c>
      <c r="B163" t="s">
        <v>1135</v>
      </c>
      <c r="C163" t="s">
        <v>1172</v>
      </c>
      <c r="D163" t="s">
        <v>1456</v>
      </c>
      <c r="E163" t="s">
        <v>1123</v>
      </c>
      <c r="F163" t="s">
        <v>590</v>
      </c>
      <c r="G163" t="s">
        <v>890</v>
      </c>
      <c r="H163" t="s">
        <v>592</v>
      </c>
      <c r="I163" t="s">
        <v>431</v>
      </c>
      <c r="J163" t="s">
        <v>881</v>
      </c>
      <c r="L163" s="7" t="s">
        <v>413</v>
      </c>
      <c r="M163" s="2" t="s">
        <v>413</v>
      </c>
      <c r="N163" t="s">
        <v>388</v>
      </c>
      <c r="O163" t="s">
        <v>380</v>
      </c>
      <c r="P163" t="s">
        <v>432</v>
      </c>
      <c r="Q163">
        <v>873</v>
      </c>
      <c r="R163" t="s">
        <v>410</v>
      </c>
      <c r="S163" s="2" t="s">
        <v>3</v>
      </c>
    </row>
    <row r="164" spans="1:20" ht="15" customHeight="1" x14ac:dyDescent="0.25">
      <c r="A164">
        <v>1499</v>
      </c>
      <c r="B164" t="s">
        <v>1136</v>
      </c>
      <c r="C164" t="s">
        <v>1124</v>
      </c>
      <c r="D164" t="s">
        <v>1456</v>
      </c>
      <c r="E164" t="s">
        <v>1123</v>
      </c>
      <c r="F164" t="s">
        <v>590</v>
      </c>
      <c r="G164" t="s">
        <v>887</v>
      </c>
      <c r="H164" t="s">
        <v>592</v>
      </c>
      <c r="I164" t="s">
        <v>431</v>
      </c>
      <c r="J164" t="s">
        <v>881</v>
      </c>
      <c r="L164" s="7" t="s">
        <v>413</v>
      </c>
      <c r="M164" s="2" t="s">
        <v>413</v>
      </c>
      <c r="N164" t="s">
        <v>388</v>
      </c>
      <c r="O164" t="s">
        <v>380</v>
      </c>
      <c r="P164" t="s">
        <v>432</v>
      </c>
      <c r="Q164">
        <v>282</v>
      </c>
      <c r="R164" t="s">
        <v>411</v>
      </c>
      <c r="S164" s="2" t="s">
        <v>3</v>
      </c>
    </row>
    <row r="165" spans="1:20" ht="15" customHeight="1" x14ac:dyDescent="0.25">
      <c r="A165">
        <v>15002</v>
      </c>
      <c r="B165" t="s">
        <v>170</v>
      </c>
      <c r="C165" t="s">
        <v>1309</v>
      </c>
      <c r="D165" t="s">
        <v>1154</v>
      </c>
      <c r="E165" t="s">
        <v>165</v>
      </c>
      <c r="F165" t="s">
        <v>607</v>
      </c>
      <c r="G165" t="s">
        <v>745</v>
      </c>
      <c r="H165" t="s">
        <v>609</v>
      </c>
      <c r="I165" t="s">
        <v>474</v>
      </c>
      <c r="J165" t="s">
        <v>746</v>
      </c>
      <c r="L165" s="2">
        <v>0</v>
      </c>
      <c r="M165" s="2">
        <v>8</v>
      </c>
      <c r="N165" t="s">
        <v>388</v>
      </c>
      <c r="O165" t="s">
        <v>380</v>
      </c>
      <c r="P165" t="s">
        <v>428</v>
      </c>
      <c r="Q165">
        <v>274</v>
      </c>
      <c r="R165" t="s">
        <v>171</v>
      </c>
      <c r="S165" s="2" t="s">
        <v>3</v>
      </c>
    </row>
    <row r="166" spans="1:20" ht="15" customHeight="1" x14ac:dyDescent="0.25">
      <c r="A166">
        <v>17207</v>
      </c>
      <c r="B166" t="s">
        <v>1437</v>
      </c>
      <c r="C166" t="s">
        <v>1310</v>
      </c>
      <c r="D166" t="s">
        <v>1154</v>
      </c>
      <c r="E166" t="s">
        <v>165</v>
      </c>
      <c r="F166" t="s">
        <v>607</v>
      </c>
      <c r="G166" t="s">
        <v>747</v>
      </c>
      <c r="H166" t="s">
        <v>748</v>
      </c>
      <c r="I166" t="s">
        <v>474</v>
      </c>
      <c r="J166" t="s">
        <v>749</v>
      </c>
      <c r="L166" s="2">
        <v>0</v>
      </c>
      <c r="M166" s="2">
        <v>4</v>
      </c>
      <c r="N166" t="s">
        <v>388</v>
      </c>
      <c r="O166" t="s">
        <v>380</v>
      </c>
      <c r="P166" t="s">
        <v>428</v>
      </c>
      <c r="Q166">
        <v>740</v>
      </c>
      <c r="R166" t="s">
        <v>175</v>
      </c>
      <c r="S166" s="2" t="s">
        <v>3</v>
      </c>
    </row>
    <row r="167" spans="1:20" ht="15" customHeight="1" x14ac:dyDescent="0.25">
      <c r="A167">
        <v>15361</v>
      </c>
      <c r="B167" t="s">
        <v>172</v>
      </c>
      <c r="C167" t="s">
        <v>1311</v>
      </c>
      <c r="D167" t="s">
        <v>1154</v>
      </c>
      <c r="E167" t="s">
        <v>165</v>
      </c>
      <c r="F167" t="s">
        <v>607</v>
      </c>
      <c r="G167" t="s">
        <v>1378</v>
      </c>
      <c r="H167" t="s">
        <v>611</v>
      </c>
      <c r="I167" t="s">
        <v>435</v>
      </c>
      <c r="J167" t="s">
        <v>612</v>
      </c>
      <c r="L167" s="2">
        <v>0</v>
      </c>
      <c r="M167" s="2">
        <v>4</v>
      </c>
      <c r="N167" t="s">
        <v>388</v>
      </c>
      <c r="O167" t="s">
        <v>380</v>
      </c>
      <c r="P167" t="s">
        <v>428</v>
      </c>
      <c r="Q167">
        <v>749</v>
      </c>
      <c r="R167" t="s">
        <v>172</v>
      </c>
      <c r="S167" s="2" t="s">
        <v>3</v>
      </c>
    </row>
    <row r="168" spans="1:20" ht="15" customHeight="1" x14ac:dyDescent="0.25">
      <c r="A168">
        <v>13976</v>
      </c>
      <c r="B168" t="s">
        <v>1112</v>
      </c>
      <c r="C168" t="s">
        <v>1312</v>
      </c>
      <c r="D168" t="s">
        <v>1115</v>
      </c>
      <c r="E168" t="s">
        <v>165</v>
      </c>
      <c r="F168" t="s">
        <v>845</v>
      </c>
      <c r="G168" t="s">
        <v>1150</v>
      </c>
      <c r="H168" t="s">
        <v>1151</v>
      </c>
      <c r="I168" t="s">
        <v>1126</v>
      </c>
      <c r="M168" s="2">
        <v>3</v>
      </c>
      <c r="O168" t="s">
        <v>380</v>
      </c>
      <c r="P168" t="s">
        <v>428</v>
      </c>
      <c r="Q168">
        <v>505</v>
      </c>
      <c r="R168" t="s">
        <v>1113</v>
      </c>
      <c r="S168" s="2" t="s">
        <v>3</v>
      </c>
    </row>
    <row r="169" spans="1:20" ht="15" customHeight="1" x14ac:dyDescent="0.25">
      <c r="A169">
        <v>12257</v>
      </c>
      <c r="B169" t="s">
        <v>164</v>
      </c>
      <c r="C169" t="s">
        <v>1313</v>
      </c>
      <c r="D169" t="s">
        <v>1115</v>
      </c>
      <c r="E169" t="s">
        <v>165</v>
      </c>
      <c r="F169" t="s">
        <v>845</v>
      </c>
      <c r="G169" t="s">
        <v>1007</v>
      </c>
      <c r="H169" t="s">
        <v>1008</v>
      </c>
      <c r="I169" t="s">
        <v>536</v>
      </c>
      <c r="J169" t="s">
        <v>1009</v>
      </c>
      <c r="K169" s="9">
        <v>44487</v>
      </c>
      <c r="L169" s="7">
        <v>44487</v>
      </c>
      <c r="M169" s="2">
        <v>3</v>
      </c>
      <c r="N169" t="s">
        <v>388</v>
      </c>
      <c r="O169" t="s">
        <v>380</v>
      </c>
      <c r="P169" t="s">
        <v>428</v>
      </c>
      <c r="Q169">
        <v>865</v>
      </c>
      <c r="R169" t="s">
        <v>164</v>
      </c>
      <c r="S169" s="2" t="s">
        <v>3</v>
      </c>
    </row>
    <row r="170" spans="1:20" ht="15" customHeight="1" x14ac:dyDescent="0.25">
      <c r="A170">
        <v>31381</v>
      </c>
      <c r="B170" t="s">
        <v>244</v>
      </c>
      <c r="C170" t="s">
        <v>1314</v>
      </c>
      <c r="D170" t="s">
        <v>1115</v>
      </c>
      <c r="E170" t="s">
        <v>165</v>
      </c>
      <c r="F170" t="s">
        <v>845</v>
      </c>
      <c r="G170" t="s">
        <v>846</v>
      </c>
      <c r="H170" t="s">
        <v>847</v>
      </c>
      <c r="I170" t="s">
        <v>1147</v>
      </c>
      <c r="J170">
        <v>0</v>
      </c>
      <c r="K170" s="9">
        <v>44298</v>
      </c>
      <c r="L170" s="7">
        <v>44298</v>
      </c>
      <c r="M170" s="2">
        <v>3</v>
      </c>
      <c r="N170" t="s">
        <v>388</v>
      </c>
      <c r="O170" t="s">
        <v>380</v>
      </c>
      <c r="P170" t="s">
        <v>432</v>
      </c>
      <c r="Q170">
        <v>844</v>
      </c>
      <c r="R170" t="s">
        <v>244</v>
      </c>
      <c r="S170" s="2" t="s">
        <v>3</v>
      </c>
    </row>
    <row r="171" spans="1:20" ht="15" customHeight="1" x14ac:dyDescent="0.25">
      <c r="A171">
        <v>31388</v>
      </c>
      <c r="B171" t="s">
        <v>247</v>
      </c>
      <c r="C171" t="s">
        <v>1315</v>
      </c>
      <c r="D171" t="s">
        <v>1115</v>
      </c>
      <c r="E171" t="s">
        <v>165</v>
      </c>
      <c r="F171" t="s">
        <v>845</v>
      </c>
      <c r="G171" t="s">
        <v>993</v>
      </c>
      <c r="H171" t="s">
        <v>592</v>
      </c>
      <c r="I171" t="s">
        <v>530</v>
      </c>
      <c r="J171" t="s">
        <v>994</v>
      </c>
      <c r="K171" s="9">
        <v>44319</v>
      </c>
      <c r="L171" s="7">
        <v>44319</v>
      </c>
      <c r="M171" s="2">
        <v>4</v>
      </c>
      <c r="N171" t="s">
        <v>388</v>
      </c>
      <c r="O171" t="s">
        <v>380</v>
      </c>
      <c r="P171" t="s">
        <v>432</v>
      </c>
      <c r="Q171">
        <v>852</v>
      </c>
      <c r="R171" t="s">
        <v>248</v>
      </c>
      <c r="S171" s="2" t="s">
        <v>3</v>
      </c>
    </row>
    <row r="172" spans="1:20" ht="15" customHeight="1" x14ac:dyDescent="0.25">
      <c r="A172">
        <v>13900</v>
      </c>
      <c r="B172" t="s">
        <v>166</v>
      </c>
      <c r="C172" t="s">
        <v>1316</v>
      </c>
      <c r="D172" t="s">
        <v>1115</v>
      </c>
      <c r="E172" t="s">
        <v>165</v>
      </c>
      <c r="F172" t="s">
        <v>845</v>
      </c>
      <c r="G172" t="s">
        <v>1010</v>
      </c>
      <c r="H172" t="s">
        <v>592</v>
      </c>
      <c r="I172" t="s">
        <v>536</v>
      </c>
      <c r="J172" t="s">
        <v>1011</v>
      </c>
      <c r="L172" s="2">
        <v>0</v>
      </c>
      <c r="M172" s="2">
        <v>5</v>
      </c>
      <c r="N172" t="s">
        <v>388</v>
      </c>
      <c r="O172" t="s">
        <v>380</v>
      </c>
      <c r="P172" t="s">
        <v>428</v>
      </c>
      <c r="Q172">
        <v>234</v>
      </c>
      <c r="R172" t="s">
        <v>167</v>
      </c>
      <c r="S172" s="2" t="s">
        <v>3</v>
      </c>
      <c r="T172" t="s">
        <v>3</v>
      </c>
    </row>
    <row r="173" spans="1:20" ht="15" customHeight="1" x14ac:dyDescent="0.25">
      <c r="A173">
        <v>20085</v>
      </c>
      <c r="B173" t="s">
        <v>216</v>
      </c>
      <c r="C173" t="s">
        <v>1317</v>
      </c>
      <c r="D173" t="s">
        <v>1115</v>
      </c>
      <c r="E173" t="s">
        <v>165</v>
      </c>
      <c r="F173" t="s">
        <v>1057</v>
      </c>
      <c r="G173" t="s">
        <v>1061</v>
      </c>
      <c r="H173" t="s">
        <v>592</v>
      </c>
      <c r="I173" t="s">
        <v>546</v>
      </c>
      <c r="J173" t="s">
        <v>1062</v>
      </c>
      <c r="K173" s="9">
        <v>44161</v>
      </c>
      <c r="L173" s="7">
        <v>44161</v>
      </c>
      <c r="M173" s="2">
        <v>7</v>
      </c>
      <c r="N173" t="s">
        <v>389</v>
      </c>
      <c r="O173" t="s">
        <v>380</v>
      </c>
      <c r="P173" t="s">
        <v>428</v>
      </c>
      <c r="Q173">
        <v>817</v>
      </c>
      <c r="R173" t="s">
        <v>217</v>
      </c>
      <c r="S173" s="2" t="s">
        <v>3</v>
      </c>
    </row>
    <row r="174" spans="1:20" ht="15" customHeight="1" x14ac:dyDescent="0.25">
      <c r="A174">
        <v>31382</v>
      </c>
      <c r="B174" t="s">
        <v>245</v>
      </c>
      <c r="C174" t="s">
        <v>1318</v>
      </c>
      <c r="D174" t="s">
        <v>1115</v>
      </c>
      <c r="E174" t="s">
        <v>165</v>
      </c>
      <c r="F174" t="s">
        <v>845</v>
      </c>
      <c r="G174" t="s">
        <v>1012</v>
      </c>
      <c r="H174" t="s">
        <v>1013</v>
      </c>
      <c r="I174" t="s">
        <v>536</v>
      </c>
      <c r="J174" t="s">
        <v>1014</v>
      </c>
      <c r="K174" s="9">
        <v>44291</v>
      </c>
      <c r="L174" s="7">
        <v>44291</v>
      </c>
      <c r="M174" s="2">
        <v>5</v>
      </c>
      <c r="N174" t="s">
        <v>388</v>
      </c>
      <c r="O174" t="s">
        <v>380</v>
      </c>
      <c r="P174" t="s">
        <v>428</v>
      </c>
      <c r="Q174">
        <v>846</v>
      </c>
      <c r="R174" t="s">
        <v>246</v>
      </c>
      <c r="S174" s="2" t="s">
        <v>3</v>
      </c>
    </row>
    <row r="175" spans="1:20" ht="15" customHeight="1" x14ac:dyDescent="0.25">
      <c r="A175">
        <v>12200</v>
      </c>
      <c r="B175" t="s">
        <v>162</v>
      </c>
      <c r="C175" t="s">
        <v>1319</v>
      </c>
      <c r="D175" t="s">
        <v>1154</v>
      </c>
      <c r="E175" t="s">
        <v>165</v>
      </c>
      <c r="F175" t="s">
        <v>668</v>
      </c>
      <c r="G175" t="s">
        <v>669</v>
      </c>
      <c r="H175" t="s">
        <v>592</v>
      </c>
      <c r="I175" t="s">
        <v>452</v>
      </c>
      <c r="J175" t="s">
        <v>670</v>
      </c>
      <c r="L175" s="2">
        <v>0</v>
      </c>
      <c r="M175" s="2">
        <v>6</v>
      </c>
      <c r="N175" t="s">
        <v>388</v>
      </c>
      <c r="O175" t="s">
        <v>380</v>
      </c>
      <c r="P175" t="s">
        <v>432</v>
      </c>
      <c r="Q175">
        <v>305</v>
      </c>
      <c r="R175" t="s">
        <v>163</v>
      </c>
      <c r="S175" s="2" t="s">
        <v>3</v>
      </c>
      <c r="T175" t="s">
        <v>3</v>
      </c>
    </row>
    <row r="176" spans="1:20" ht="15" customHeight="1" x14ac:dyDescent="0.25">
      <c r="A176">
        <v>19201</v>
      </c>
      <c r="B176" t="s">
        <v>186</v>
      </c>
      <c r="C176" t="s">
        <v>1154</v>
      </c>
      <c r="D176" t="s">
        <v>1154</v>
      </c>
      <c r="E176" t="s">
        <v>165</v>
      </c>
      <c r="F176" t="s">
        <v>709</v>
      </c>
      <c r="G176" t="s">
        <v>710</v>
      </c>
      <c r="H176" t="s">
        <v>711</v>
      </c>
      <c r="I176" t="s">
        <v>465</v>
      </c>
      <c r="J176" t="s">
        <v>712</v>
      </c>
      <c r="L176" s="2">
        <v>0</v>
      </c>
      <c r="M176" s="2">
        <v>4</v>
      </c>
      <c r="N176" t="s">
        <v>389</v>
      </c>
      <c r="O176" t="s">
        <v>380</v>
      </c>
      <c r="P176" t="s">
        <v>432</v>
      </c>
      <c r="Q176">
        <v>715</v>
      </c>
      <c r="R176" t="s">
        <v>187</v>
      </c>
      <c r="S176" s="2" t="s">
        <v>3</v>
      </c>
      <c r="T176" t="s">
        <v>3</v>
      </c>
    </row>
    <row r="177" spans="1:19" ht="15" customHeight="1" x14ac:dyDescent="0.25">
      <c r="A177">
        <v>24009</v>
      </c>
      <c r="B177" t="s">
        <v>228</v>
      </c>
      <c r="C177" t="s">
        <v>1320</v>
      </c>
      <c r="D177" t="s">
        <v>1154</v>
      </c>
      <c r="E177" t="s">
        <v>165</v>
      </c>
      <c r="F177" t="s">
        <v>850</v>
      </c>
      <c r="G177" t="s">
        <v>851</v>
      </c>
      <c r="H177" t="s">
        <v>852</v>
      </c>
      <c r="I177" t="s">
        <v>505</v>
      </c>
      <c r="J177" t="s">
        <v>853</v>
      </c>
      <c r="L177" s="2">
        <v>0</v>
      </c>
      <c r="M177" s="2">
        <v>3</v>
      </c>
      <c r="N177" t="s">
        <v>389</v>
      </c>
      <c r="O177" t="s">
        <v>380</v>
      </c>
      <c r="P177" t="s">
        <v>432</v>
      </c>
      <c r="Q177">
        <v>775</v>
      </c>
      <c r="R177" t="s">
        <v>228</v>
      </c>
      <c r="S177" s="2" t="s">
        <v>3</v>
      </c>
    </row>
    <row r="178" spans="1:19" ht="15" customHeight="1" x14ac:dyDescent="0.25">
      <c r="A178">
        <v>40325</v>
      </c>
      <c r="B178" t="s">
        <v>252</v>
      </c>
      <c r="C178" t="s">
        <v>1321</v>
      </c>
      <c r="D178" t="s">
        <v>1329</v>
      </c>
      <c r="E178" t="s">
        <v>165</v>
      </c>
      <c r="F178" t="s">
        <v>638</v>
      </c>
      <c r="G178" t="s">
        <v>787</v>
      </c>
      <c r="H178" t="s">
        <v>592</v>
      </c>
      <c r="I178" t="s">
        <v>788</v>
      </c>
      <c r="J178" t="s">
        <v>789</v>
      </c>
      <c r="K178" s="9">
        <v>44578</v>
      </c>
      <c r="L178" s="7">
        <v>44578</v>
      </c>
      <c r="M178" s="8">
        <v>5</v>
      </c>
      <c r="N178" t="s">
        <v>388</v>
      </c>
      <c r="O178" t="s">
        <v>381</v>
      </c>
      <c r="P178" t="s">
        <v>381</v>
      </c>
      <c r="Q178">
        <v>879</v>
      </c>
      <c r="R178" t="s">
        <v>253</v>
      </c>
      <c r="S178" s="2" t="s">
        <v>3</v>
      </c>
    </row>
    <row r="179" spans="1:19" ht="15" customHeight="1" x14ac:dyDescent="0.25">
      <c r="A179">
        <v>4900</v>
      </c>
      <c r="B179" t="s">
        <v>98</v>
      </c>
      <c r="C179" t="s">
        <v>1322</v>
      </c>
      <c r="D179" t="s">
        <v>399</v>
      </c>
      <c r="E179" t="s">
        <v>165</v>
      </c>
      <c r="F179" t="s">
        <v>638</v>
      </c>
      <c r="G179" t="s">
        <v>639</v>
      </c>
      <c r="H179" t="s">
        <v>640</v>
      </c>
      <c r="I179" t="s">
        <v>444</v>
      </c>
      <c r="J179" t="s">
        <v>641</v>
      </c>
      <c r="L179" s="2">
        <v>0</v>
      </c>
      <c r="M179" s="2">
        <v>7</v>
      </c>
      <c r="N179" t="s">
        <v>388</v>
      </c>
      <c r="O179" t="s">
        <v>380</v>
      </c>
      <c r="P179" t="s">
        <v>428</v>
      </c>
      <c r="Q179">
        <v>627</v>
      </c>
      <c r="R179" t="s">
        <v>98</v>
      </c>
      <c r="S179" s="2" t="s">
        <v>3</v>
      </c>
    </row>
    <row r="180" spans="1:19" ht="15" customHeight="1" x14ac:dyDescent="0.25">
      <c r="A180">
        <v>400013</v>
      </c>
      <c r="B180" t="s">
        <v>330</v>
      </c>
      <c r="C180" t="s">
        <v>1324</v>
      </c>
      <c r="D180" t="s">
        <v>1329</v>
      </c>
      <c r="E180" t="s">
        <v>165</v>
      </c>
      <c r="F180" t="s">
        <v>638</v>
      </c>
      <c r="G180" t="s">
        <v>690</v>
      </c>
      <c r="H180" t="s">
        <v>592</v>
      </c>
      <c r="I180" t="s">
        <v>691</v>
      </c>
      <c r="J180" t="s">
        <v>692</v>
      </c>
      <c r="K180" s="9">
        <v>44593</v>
      </c>
      <c r="L180" s="7">
        <v>44593</v>
      </c>
      <c r="M180" s="2">
        <v>3</v>
      </c>
      <c r="N180" t="s">
        <v>388</v>
      </c>
      <c r="O180" t="s">
        <v>381</v>
      </c>
      <c r="P180" t="s">
        <v>381</v>
      </c>
      <c r="Q180">
        <v>877</v>
      </c>
      <c r="R180" t="s">
        <v>330</v>
      </c>
      <c r="S180" s="2" t="s">
        <v>3</v>
      </c>
    </row>
    <row r="181" spans="1:19" ht="15" customHeight="1" x14ac:dyDescent="0.25">
      <c r="A181">
        <v>40324</v>
      </c>
      <c r="B181" t="s">
        <v>249</v>
      </c>
      <c r="C181" t="s">
        <v>1325</v>
      </c>
      <c r="D181" t="s">
        <v>1329</v>
      </c>
      <c r="E181" t="s">
        <v>165</v>
      </c>
      <c r="F181" t="s">
        <v>638</v>
      </c>
      <c r="G181" t="s">
        <v>645</v>
      </c>
      <c r="H181" t="s">
        <v>646</v>
      </c>
      <c r="I181" t="s">
        <v>444</v>
      </c>
      <c r="J181" t="s">
        <v>647</v>
      </c>
      <c r="K181" s="9">
        <v>44578</v>
      </c>
      <c r="L181" s="7">
        <v>44578</v>
      </c>
      <c r="M181" s="8">
        <v>3</v>
      </c>
      <c r="N181" t="s">
        <v>388</v>
      </c>
      <c r="O181" t="s">
        <v>381</v>
      </c>
      <c r="P181" t="s">
        <v>381</v>
      </c>
      <c r="Q181">
        <v>878</v>
      </c>
      <c r="R181" t="s">
        <v>250</v>
      </c>
      <c r="S181" s="2" t="s">
        <v>3</v>
      </c>
    </row>
    <row r="182" spans="1:19" ht="15" customHeight="1" x14ac:dyDescent="0.25">
      <c r="A182">
        <v>45034</v>
      </c>
      <c r="B182" t="s">
        <v>1441</v>
      </c>
      <c r="C182" t="s">
        <v>1326</v>
      </c>
      <c r="D182" t="s">
        <v>399</v>
      </c>
      <c r="E182" t="s">
        <v>165</v>
      </c>
      <c r="F182" t="s">
        <v>638</v>
      </c>
      <c r="G182" t="s">
        <v>700</v>
      </c>
      <c r="H182" t="s">
        <v>701</v>
      </c>
      <c r="I182" t="s">
        <v>461</v>
      </c>
      <c r="J182" t="s">
        <v>702</v>
      </c>
      <c r="L182" s="2">
        <v>0</v>
      </c>
      <c r="M182" s="2">
        <v>4</v>
      </c>
      <c r="N182" t="s">
        <v>388</v>
      </c>
      <c r="O182" t="s">
        <v>380</v>
      </c>
      <c r="P182" t="s">
        <v>432</v>
      </c>
      <c r="Q182">
        <v>745</v>
      </c>
      <c r="R182" t="s">
        <v>258</v>
      </c>
      <c r="S182" s="2" t="s">
        <v>3</v>
      </c>
    </row>
    <row r="183" spans="1:19" ht="15" customHeight="1" x14ac:dyDescent="0.25">
      <c r="A183">
        <v>400012</v>
      </c>
      <c r="B183" t="s">
        <v>328</v>
      </c>
      <c r="C183" t="s">
        <v>1327</v>
      </c>
      <c r="D183" t="s">
        <v>1329</v>
      </c>
      <c r="E183" t="s">
        <v>165</v>
      </c>
      <c r="F183" t="s">
        <v>638</v>
      </c>
      <c r="G183" t="s">
        <v>825</v>
      </c>
      <c r="H183" t="s">
        <v>592</v>
      </c>
      <c r="I183" t="s">
        <v>826</v>
      </c>
      <c r="J183" t="s">
        <v>827</v>
      </c>
      <c r="K183" s="9">
        <v>44634</v>
      </c>
      <c r="L183" s="7">
        <v>44634</v>
      </c>
      <c r="M183" s="2">
        <v>3</v>
      </c>
      <c r="N183" t="s">
        <v>388</v>
      </c>
      <c r="O183" t="s">
        <v>381</v>
      </c>
      <c r="P183" t="s">
        <v>381</v>
      </c>
      <c r="Q183">
        <v>882</v>
      </c>
      <c r="R183" t="s">
        <v>329</v>
      </c>
      <c r="S183" s="2" t="s">
        <v>3</v>
      </c>
    </row>
    <row r="184" spans="1:19" ht="15" customHeight="1" x14ac:dyDescent="0.25">
      <c r="A184">
        <v>45018</v>
      </c>
      <c r="B184" t="s">
        <v>1442</v>
      </c>
      <c r="C184" t="s">
        <v>1328</v>
      </c>
      <c r="D184" t="s">
        <v>399</v>
      </c>
      <c r="E184" t="s">
        <v>165</v>
      </c>
      <c r="F184" t="s">
        <v>638</v>
      </c>
      <c r="G184" t="s">
        <v>956</v>
      </c>
      <c r="H184" t="s">
        <v>957</v>
      </c>
      <c r="I184" t="s">
        <v>521</v>
      </c>
      <c r="J184" t="s">
        <v>958</v>
      </c>
      <c r="L184" s="2">
        <v>0</v>
      </c>
      <c r="M184" s="2">
        <v>4</v>
      </c>
      <c r="N184" t="s">
        <v>388</v>
      </c>
      <c r="O184" t="s">
        <v>380</v>
      </c>
      <c r="P184" t="s">
        <v>432</v>
      </c>
      <c r="Q184">
        <v>769</v>
      </c>
      <c r="R184" t="s">
        <v>257</v>
      </c>
      <c r="S184" s="2" t="s">
        <v>3</v>
      </c>
    </row>
    <row r="185" spans="1:19" ht="15" customHeight="1" x14ac:dyDescent="0.25">
      <c r="A185">
        <v>400010</v>
      </c>
      <c r="B185" t="s">
        <v>324</v>
      </c>
      <c r="C185" t="s">
        <v>1329</v>
      </c>
      <c r="D185" t="s">
        <v>1329</v>
      </c>
      <c r="E185" t="s">
        <v>165</v>
      </c>
      <c r="F185" t="s">
        <v>638</v>
      </c>
      <c r="G185" t="s">
        <v>976</v>
      </c>
      <c r="H185" t="s">
        <v>592</v>
      </c>
      <c r="I185" t="s">
        <v>977</v>
      </c>
      <c r="J185" t="s">
        <v>978</v>
      </c>
      <c r="K185" s="9">
        <v>44578</v>
      </c>
      <c r="L185" s="7">
        <v>44578</v>
      </c>
      <c r="M185" s="2">
        <v>3</v>
      </c>
      <c r="N185" t="s">
        <v>388</v>
      </c>
      <c r="O185" t="s">
        <v>381</v>
      </c>
      <c r="P185" t="s">
        <v>381</v>
      </c>
      <c r="Q185">
        <v>886</v>
      </c>
      <c r="R185" t="s">
        <v>325</v>
      </c>
      <c r="S185" s="2" t="s">
        <v>3</v>
      </c>
    </row>
    <row r="186" spans="1:19" ht="15" customHeight="1" x14ac:dyDescent="0.25">
      <c r="A186">
        <v>92760</v>
      </c>
      <c r="B186" t="s">
        <v>319</v>
      </c>
      <c r="C186" t="s">
        <v>1330</v>
      </c>
      <c r="D186" t="s">
        <v>1329</v>
      </c>
      <c r="E186" t="s">
        <v>165</v>
      </c>
      <c r="F186" t="s">
        <v>638</v>
      </c>
      <c r="G186" t="s">
        <v>1079</v>
      </c>
      <c r="H186" t="s">
        <v>592</v>
      </c>
      <c r="I186" t="s">
        <v>1080</v>
      </c>
      <c r="J186" t="s">
        <v>1081</v>
      </c>
      <c r="K186" s="9">
        <v>44578</v>
      </c>
      <c r="L186" s="7">
        <v>44578</v>
      </c>
      <c r="M186" s="2">
        <v>3</v>
      </c>
      <c r="N186" t="s">
        <v>388</v>
      </c>
      <c r="O186" t="s">
        <v>381</v>
      </c>
      <c r="P186" t="s">
        <v>381</v>
      </c>
      <c r="Q186">
        <v>875</v>
      </c>
      <c r="R186" t="s">
        <v>319</v>
      </c>
      <c r="S186" s="2" t="s">
        <v>3</v>
      </c>
    </row>
    <row r="187" spans="1:19" ht="15" customHeight="1" x14ac:dyDescent="0.25">
      <c r="A187">
        <v>400011</v>
      </c>
      <c r="B187" t="s">
        <v>326</v>
      </c>
      <c r="C187" t="s">
        <v>1331</v>
      </c>
      <c r="D187" t="s">
        <v>1329</v>
      </c>
      <c r="E187" t="s">
        <v>165</v>
      </c>
      <c r="F187" t="s">
        <v>638</v>
      </c>
      <c r="G187" t="s">
        <v>1090</v>
      </c>
      <c r="H187" t="s">
        <v>592</v>
      </c>
      <c r="I187" t="s">
        <v>1091</v>
      </c>
      <c r="J187" t="s">
        <v>1092</v>
      </c>
      <c r="K187" s="9">
        <v>44620</v>
      </c>
      <c r="L187" s="7">
        <v>44620</v>
      </c>
      <c r="M187" s="2">
        <v>3</v>
      </c>
      <c r="N187" t="s">
        <v>388</v>
      </c>
      <c r="O187" t="s">
        <v>381</v>
      </c>
      <c r="P187" t="s">
        <v>381</v>
      </c>
      <c r="Q187">
        <v>883</v>
      </c>
      <c r="R187" t="s">
        <v>327</v>
      </c>
      <c r="S187" s="2" t="s">
        <v>3</v>
      </c>
    </row>
    <row r="188" spans="1:19" ht="15" customHeight="1" x14ac:dyDescent="0.25">
      <c r="A188">
        <v>96330</v>
      </c>
      <c r="B188" t="s">
        <v>1138</v>
      </c>
      <c r="C188" t="s">
        <v>1180</v>
      </c>
      <c r="D188" t="s">
        <v>1343</v>
      </c>
      <c r="E188" t="s">
        <v>165</v>
      </c>
      <c r="F188" t="s">
        <v>1140</v>
      </c>
      <c r="G188" t="s">
        <v>1379</v>
      </c>
      <c r="H188" t="s">
        <v>1155</v>
      </c>
      <c r="I188" t="s">
        <v>1160</v>
      </c>
      <c r="M188" s="2">
        <v>4</v>
      </c>
      <c r="O188" t="s">
        <v>380</v>
      </c>
      <c r="P188" t="s">
        <v>428</v>
      </c>
      <c r="Q188">
        <v>525</v>
      </c>
      <c r="S188" s="2" t="s">
        <v>3</v>
      </c>
    </row>
    <row r="189" spans="1:19" ht="15" customHeight="1" x14ac:dyDescent="0.25">
      <c r="A189">
        <v>96329</v>
      </c>
      <c r="B189" t="s">
        <v>1141</v>
      </c>
      <c r="C189" t="s">
        <v>1180</v>
      </c>
      <c r="D189" t="s">
        <v>1343</v>
      </c>
      <c r="E189" t="s">
        <v>165</v>
      </c>
      <c r="F189" t="s">
        <v>1140</v>
      </c>
      <c r="G189" t="s">
        <v>1380</v>
      </c>
      <c r="H189" t="s">
        <v>1156</v>
      </c>
      <c r="I189" t="s">
        <v>1160</v>
      </c>
      <c r="M189" s="2">
        <v>4</v>
      </c>
      <c r="O189" t="s">
        <v>380</v>
      </c>
      <c r="P189" t="s">
        <v>428</v>
      </c>
      <c r="Q189">
        <v>522</v>
      </c>
      <c r="S189" s="2" t="s">
        <v>3</v>
      </c>
    </row>
    <row r="190" spans="1:19" ht="15" customHeight="1" x14ac:dyDescent="0.25">
      <c r="A190">
        <v>96331</v>
      </c>
      <c r="B190" t="s">
        <v>1142</v>
      </c>
      <c r="C190" t="s">
        <v>1180</v>
      </c>
      <c r="D190" t="s">
        <v>1343</v>
      </c>
      <c r="E190" t="s">
        <v>165</v>
      </c>
      <c r="F190" t="s">
        <v>1140</v>
      </c>
      <c r="G190" t="s">
        <v>1381</v>
      </c>
      <c r="H190" t="s">
        <v>1157</v>
      </c>
      <c r="I190" t="s">
        <v>1160</v>
      </c>
      <c r="M190" s="2">
        <v>4</v>
      </c>
      <c r="O190" t="s">
        <v>380</v>
      </c>
      <c r="P190" t="s">
        <v>428</v>
      </c>
      <c r="Q190">
        <v>516</v>
      </c>
      <c r="S190" s="2" t="s">
        <v>3</v>
      </c>
    </row>
    <row r="191" spans="1:19" ht="15" customHeight="1" x14ac:dyDescent="0.25">
      <c r="A191">
        <v>96714</v>
      </c>
      <c r="B191" t="s">
        <v>1143</v>
      </c>
      <c r="C191" t="s">
        <v>1180</v>
      </c>
      <c r="D191" t="s">
        <v>1343</v>
      </c>
      <c r="E191" t="s">
        <v>165</v>
      </c>
      <c r="F191" t="s">
        <v>1140</v>
      </c>
      <c r="G191" t="s">
        <v>1382</v>
      </c>
      <c r="H191" t="s">
        <v>1158</v>
      </c>
      <c r="I191" t="s">
        <v>1160</v>
      </c>
      <c r="M191" s="2">
        <v>4</v>
      </c>
      <c r="O191" t="s">
        <v>380</v>
      </c>
      <c r="P191" t="s">
        <v>428</v>
      </c>
      <c r="Q191">
        <v>520</v>
      </c>
      <c r="S191" s="2" t="s">
        <v>3</v>
      </c>
    </row>
    <row r="192" spans="1:19" ht="15" customHeight="1" x14ac:dyDescent="0.25">
      <c r="A192">
        <v>96328</v>
      </c>
      <c r="B192" t="s">
        <v>1139</v>
      </c>
      <c r="C192" t="s">
        <v>1180</v>
      </c>
      <c r="D192" t="s">
        <v>1343</v>
      </c>
      <c r="E192" t="s">
        <v>165</v>
      </c>
      <c r="F192" t="s">
        <v>1140</v>
      </c>
      <c r="G192" t="s">
        <v>1383</v>
      </c>
      <c r="H192" t="s">
        <v>1159</v>
      </c>
      <c r="I192" t="s">
        <v>1160</v>
      </c>
      <c r="M192" s="2">
        <v>4</v>
      </c>
      <c r="O192" t="s">
        <v>380</v>
      </c>
      <c r="P192" t="s">
        <v>428</v>
      </c>
      <c r="Q192">
        <v>524</v>
      </c>
      <c r="S192" s="2" t="s">
        <v>3</v>
      </c>
    </row>
    <row r="193" spans="1:20" ht="15" customHeight="1" x14ac:dyDescent="0.25">
      <c r="A193">
        <v>96713</v>
      </c>
      <c r="B193" t="s">
        <v>1144</v>
      </c>
      <c r="C193" t="s">
        <v>1180</v>
      </c>
      <c r="D193" t="s">
        <v>1343</v>
      </c>
      <c r="E193" t="s">
        <v>165</v>
      </c>
      <c r="F193" t="s">
        <v>1140</v>
      </c>
      <c r="G193" t="s">
        <v>1384</v>
      </c>
      <c r="H193" t="s">
        <v>1161</v>
      </c>
      <c r="I193" t="s">
        <v>1160</v>
      </c>
      <c r="M193" s="2">
        <v>5</v>
      </c>
      <c r="O193" t="s">
        <v>380</v>
      </c>
      <c r="P193" t="s">
        <v>428</v>
      </c>
      <c r="Q193">
        <v>519</v>
      </c>
      <c r="S193" s="2" t="s">
        <v>3</v>
      </c>
    </row>
    <row r="194" spans="1:20" ht="15" customHeight="1" x14ac:dyDescent="0.25">
      <c r="A194">
        <v>180007</v>
      </c>
      <c r="B194" t="s">
        <v>364</v>
      </c>
      <c r="C194" t="s">
        <v>1332</v>
      </c>
      <c r="D194" t="s">
        <v>1318</v>
      </c>
      <c r="E194" t="s">
        <v>165</v>
      </c>
      <c r="F194" t="s">
        <v>598</v>
      </c>
      <c r="G194" t="s">
        <v>599</v>
      </c>
      <c r="H194" t="s">
        <v>600</v>
      </c>
      <c r="I194" t="s">
        <v>601</v>
      </c>
      <c r="J194" t="s">
        <v>602</v>
      </c>
      <c r="K194" s="9">
        <v>44678</v>
      </c>
      <c r="L194" s="7">
        <v>44678</v>
      </c>
      <c r="M194" s="2">
        <v>5</v>
      </c>
      <c r="N194" t="s">
        <v>388</v>
      </c>
      <c r="O194" t="s">
        <v>381</v>
      </c>
      <c r="P194" t="s">
        <v>381</v>
      </c>
      <c r="Q194">
        <v>481</v>
      </c>
      <c r="R194" t="s">
        <v>364</v>
      </c>
      <c r="S194" s="2" t="s">
        <v>3</v>
      </c>
    </row>
    <row r="195" spans="1:20" ht="15" customHeight="1" x14ac:dyDescent="0.25">
      <c r="A195">
        <v>17500</v>
      </c>
      <c r="B195" t="s">
        <v>176</v>
      </c>
      <c r="C195" t="s">
        <v>1333</v>
      </c>
      <c r="D195" t="s">
        <v>1318</v>
      </c>
      <c r="E195" t="s">
        <v>165</v>
      </c>
      <c r="F195" t="s">
        <v>598</v>
      </c>
      <c r="G195" t="s">
        <v>1397</v>
      </c>
      <c r="H195" t="s">
        <v>632</v>
      </c>
      <c r="I195" t="s">
        <v>443</v>
      </c>
      <c r="J195" t="s">
        <v>633</v>
      </c>
      <c r="L195" s="2">
        <v>0</v>
      </c>
      <c r="M195" s="2">
        <v>7</v>
      </c>
      <c r="N195" t="s">
        <v>388</v>
      </c>
      <c r="O195" t="s">
        <v>380</v>
      </c>
      <c r="P195" t="s">
        <v>428</v>
      </c>
      <c r="Q195">
        <v>226</v>
      </c>
      <c r="R195" t="s">
        <v>177</v>
      </c>
      <c r="S195" s="2" t="s">
        <v>3</v>
      </c>
      <c r="T195" t="s">
        <v>3</v>
      </c>
    </row>
    <row r="196" spans="1:20" ht="15" customHeight="1" x14ac:dyDescent="0.25">
      <c r="A196">
        <v>600098</v>
      </c>
      <c r="B196" t="s">
        <v>1116</v>
      </c>
      <c r="C196" t="s">
        <v>1334</v>
      </c>
      <c r="D196" t="s">
        <v>1318</v>
      </c>
      <c r="E196" t="s">
        <v>165</v>
      </c>
      <c r="F196" t="s">
        <v>598</v>
      </c>
      <c r="G196" t="s">
        <v>1118</v>
      </c>
      <c r="H196" t="s">
        <v>592</v>
      </c>
      <c r="I196" t="s">
        <v>1119</v>
      </c>
      <c r="J196" t="s">
        <v>1117</v>
      </c>
      <c r="K196" s="9">
        <v>45040</v>
      </c>
      <c r="L196" s="7">
        <v>45040</v>
      </c>
      <c r="M196" s="2">
        <v>4</v>
      </c>
      <c r="N196" t="s">
        <v>388</v>
      </c>
      <c r="O196" t="s">
        <v>380</v>
      </c>
      <c r="P196" t="s">
        <v>432</v>
      </c>
      <c r="Q196">
        <v>506</v>
      </c>
      <c r="S196" s="2" t="s">
        <v>3</v>
      </c>
    </row>
    <row r="197" spans="1:20" ht="15" customHeight="1" x14ac:dyDescent="0.25">
      <c r="A197">
        <v>17514</v>
      </c>
      <c r="B197" t="s">
        <v>179</v>
      </c>
      <c r="C197" t="s">
        <v>1335</v>
      </c>
      <c r="D197" t="s">
        <v>1318</v>
      </c>
      <c r="E197" t="s">
        <v>165</v>
      </c>
      <c r="F197" t="s">
        <v>598</v>
      </c>
      <c r="G197" t="s">
        <v>634</v>
      </c>
      <c r="H197" t="s">
        <v>635</v>
      </c>
      <c r="I197" t="s">
        <v>443</v>
      </c>
      <c r="J197" t="s">
        <v>636</v>
      </c>
      <c r="K197" s="9">
        <v>44319</v>
      </c>
      <c r="L197" s="7">
        <v>44319</v>
      </c>
      <c r="M197" s="2">
        <v>4</v>
      </c>
      <c r="N197" t="s">
        <v>388</v>
      </c>
      <c r="O197" t="s">
        <v>380</v>
      </c>
      <c r="P197" t="s">
        <v>428</v>
      </c>
      <c r="Q197">
        <v>848</v>
      </c>
      <c r="R197" t="s">
        <v>179</v>
      </c>
      <c r="S197" s="2" t="s">
        <v>3</v>
      </c>
    </row>
    <row r="198" spans="1:20" ht="15" customHeight="1" x14ac:dyDescent="0.25">
      <c r="A198">
        <v>22001</v>
      </c>
      <c r="B198" t="s">
        <v>224</v>
      </c>
      <c r="C198" t="s">
        <v>1336</v>
      </c>
      <c r="D198" t="s">
        <v>1318</v>
      </c>
      <c r="E198" t="s">
        <v>165</v>
      </c>
      <c r="F198" t="s">
        <v>804</v>
      </c>
      <c r="G198" t="s">
        <v>805</v>
      </c>
      <c r="H198" t="s">
        <v>806</v>
      </c>
      <c r="I198" t="s">
        <v>492</v>
      </c>
      <c r="J198" t="s">
        <v>807</v>
      </c>
      <c r="L198" s="2">
        <v>0</v>
      </c>
      <c r="M198" s="2">
        <v>4</v>
      </c>
      <c r="N198" t="s">
        <v>388</v>
      </c>
      <c r="O198" t="s">
        <v>380</v>
      </c>
      <c r="P198" t="s">
        <v>432</v>
      </c>
      <c r="Q198">
        <v>287</v>
      </c>
      <c r="R198" t="s">
        <v>225</v>
      </c>
      <c r="S198" s="2" t="s">
        <v>3</v>
      </c>
    </row>
    <row r="199" spans="1:20" x14ac:dyDescent="0.25">
      <c r="A199">
        <v>11303</v>
      </c>
      <c r="B199" t="s">
        <v>157</v>
      </c>
      <c r="C199" t="s">
        <v>1338</v>
      </c>
      <c r="D199" t="s">
        <v>124</v>
      </c>
      <c r="E199" t="s">
        <v>251</v>
      </c>
      <c r="F199" t="s">
        <v>681</v>
      </c>
      <c r="G199" t="s">
        <v>682</v>
      </c>
      <c r="H199" t="s">
        <v>452</v>
      </c>
      <c r="I199" t="s">
        <v>456</v>
      </c>
      <c r="J199" t="s">
        <v>683</v>
      </c>
      <c r="K199" s="9">
        <v>44138</v>
      </c>
      <c r="L199" s="7">
        <v>44138</v>
      </c>
      <c r="M199" s="2">
        <v>6</v>
      </c>
      <c r="N199" t="s">
        <v>389</v>
      </c>
      <c r="O199" t="s">
        <v>380</v>
      </c>
      <c r="P199" t="s">
        <v>432</v>
      </c>
      <c r="Q199">
        <v>815</v>
      </c>
      <c r="R199" t="s">
        <v>157</v>
      </c>
      <c r="S199" s="2" t="s">
        <v>3</v>
      </c>
    </row>
    <row r="200" spans="1:20" x14ac:dyDescent="0.25">
      <c r="A200">
        <v>11304</v>
      </c>
      <c r="B200" t="s">
        <v>158</v>
      </c>
      <c r="C200" t="s">
        <v>1339</v>
      </c>
      <c r="D200" t="s">
        <v>124</v>
      </c>
      <c r="E200" t="s">
        <v>251</v>
      </c>
      <c r="F200" t="s">
        <v>681</v>
      </c>
      <c r="G200" t="s">
        <v>754</v>
      </c>
      <c r="H200" t="s">
        <v>592</v>
      </c>
      <c r="I200" t="s">
        <v>477</v>
      </c>
      <c r="J200" t="s">
        <v>755</v>
      </c>
      <c r="K200" s="9">
        <v>44138</v>
      </c>
      <c r="L200" s="7">
        <v>44138</v>
      </c>
      <c r="M200" s="2">
        <v>4</v>
      </c>
      <c r="N200" t="s">
        <v>389</v>
      </c>
      <c r="O200" t="s">
        <v>380</v>
      </c>
      <c r="P200" t="s">
        <v>432</v>
      </c>
      <c r="Q200">
        <v>816</v>
      </c>
      <c r="R200" t="s">
        <v>158</v>
      </c>
      <c r="S200" s="2" t="s">
        <v>3</v>
      </c>
    </row>
    <row r="201" spans="1:20" x14ac:dyDescent="0.25">
      <c r="A201">
        <v>9362</v>
      </c>
      <c r="B201" t="s">
        <v>125</v>
      </c>
      <c r="C201" t="s">
        <v>1340</v>
      </c>
      <c r="D201" t="s">
        <v>124</v>
      </c>
      <c r="E201" t="s">
        <v>251</v>
      </c>
      <c r="F201" t="s">
        <v>681</v>
      </c>
      <c r="G201" t="s">
        <v>798</v>
      </c>
      <c r="H201" t="s">
        <v>592</v>
      </c>
      <c r="I201" t="s">
        <v>489</v>
      </c>
      <c r="J201" t="s">
        <v>799</v>
      </c>
      <c r="K201" s="9">
        <v>44138</v>
      </c>
      <c r="L201" s="7">
        <v>44138</v>
      </c>
      <c r="M201" s="2">
        <v>5</v>
      </c>
      <c r="N201" t="s">
        <v>389</v>
      </c>
      <c r="O201" t="s">
        <v>380</v>
      </c>
      <c r="P201" t="s">
        <v>432</v>
      </c>
      <c r="Q201">
        <v>812</v>
      </c>
      <c r="R201" t="s">
        <v>125</v>
      </c>
      <c r="S201" s="2" t="s">
        <v>3</v>
      </c>
    </row>
    <row r="202" spans="1:20" x14ac:dyDescent="0.25">
      <c r="A202">
        <v>9360</v>
      </c>
      <c r="B202" t="s">
        <v>123</v>
      </c>
      <c r="C202" t="s">
        <v>1172</v>
      </c>
      <c r="D202" t="s">
        <v>124</v>
      </c>
      <c r="E202" t="s">
        <v>251</v>
      </c>
      <c r="F202" t="s">
        <v>681</v>
      </c>
      <c r="G202" t="s">
        <v>1045</v>
      </c>
      <c r="H202" t="s">
        <v>592</v>
      </c>
      <c r="I202" t="s">
        <v>541</v>
      </c>
      <c r="J202" t="s">
        <v>1046</v>
      </c>
      <c r="K202" s="9">
        <v>44138</v>
      </c>
      <c r="L202" s="7">
        <v>44138</v>
      </c>
      <c r="M202" s="2">
        <v>6</v>
      </c>
      <c r="N202" t="s">
        <v>389</v>
      </c>
      <c r="O202" t="s">
        <v>380</v>
      </c>
      <c r="P202" t="s">
        <v>432</v>
      </c>
      <c r="Q202">
        <v>813</v>
      </c>
      <c r="R202" t="s">
        <v>123</v>
      </c>
      <c r="S202" s="2" t="s">
        <v>3</v>
      </c>
    </row>
    <row r="203" spans="1:20" x14ac:dyDescent="0.25">
      <c r="A203">
        <v>11950</v>
      </c>
      <c r="B203" t="s">
        <v>161</v>
      </c>
      <c r="C203" t="s">
        <v>1341</v>
      </c>
      <c r="D203" t="s">
        <v>124</v>
      </c>
      <c r="E203" t="s">
        <v>251</v>
      </c>
      <c r="F203" t="s">
        <v>681</v>
      </c>
      <c r="G203" t="s">
        <v>1386</v>
      </c>
      <c r="H203" t="s">
        <v>1093</v>
      </c>
      <c r="I203" t="s">
        <v>553</v>
      </c>
      <c r="J203" t="s">
        <v>1094</v>
      </c>
      <c r="L203" s="2">
        <v>0</v>
      </c>
      <c r="M203" s="2">
        <v>4</v>
      </c>
      <c r="N203" t="s">
        <v>389</v>
      </c>
      <c r="O203" t="s">
        <v>380</v>
      </c>
      <c r="P203" t="s">
        <v>432</v>
      </c>
      <c r="Q203">
        <v>725</v>
      </c>
      <c r="R203" t="s">
        <v>161</v>
      </c>
      <c r="S203" s="2" t="s">
        <v>3</v>
      </c>
    </row>
    <row r="204" spans="1:20" x14ac:dyDescent="0.25">
      <c r="A204">
        <v>11900</v>
      </c>
      <c r="B204" t="s">
        <v>159</v>
      </c>
      <c r="C204" t="s">
        <v>1342</v>
      </c>
      <c r="D204" t="s">
        <v>124</v>
      </c>
      <c r="E204" t="s">
        <v>251</v>
      </c>
      <c r="F204" t="s">
        <v>681</v>
      </c>
      <c r="G204" t="s">
        <v>1095</v>
      </c>
      <c r="H204" t="s">
        <v>592</v>
      </c>
      <c r="I204" t="s">
        <v>554</v>
      </c>
      <c r="J204" t="s">
        <v>1096</v>
      </c>
      <c r="L204" s="2">
        <v>0</v>
      </c>
      <c r="M204" s="2">
        <v>8</v>
      </c>
      <c r="N204" t="s">
        <v>389</v>
      </c>
      <c r="O204" t="s">
        <v>380</v>
      </c>
      <c r="P204" t="s">
        <v>432</v>
      </c>
      <c r="Q204">
        <v>215</v>
      </c>
      <c r="R204" t="s">
        <v>160</v>
      </c>
      <c r="S204" s="2" t="s">
        <v>3</v>
      </c>
    </row>
    <row r="205" spans="1:20" x14ac:dyDescent="0.25">
      <c r="A205">
        <v>6000031</v>
      </c>
      <c r="B205" t="s">
        <v>354</v>
      </c>
      <c r="C205" t="s">
        <v>1343</v>
      </c>
      <c r="D205" t="s">
        <v>1120</v>
      </c>
      <c r="E205" t="s">
        <v>251</v>
      </c>
      <c r="F205" t="s">
        <v>603</v>
      </c>
      <c r="G205" t="s">
        <v>604</v>
      </c>
      <c r="H205" t="s">
        <v>592</v>
      </c>
      <c r="I205" t="s">
        <v>605</v>
      </c>
      <c r="J205" t="s">
        <v>606</v>
      </c>
      <c r="L205" s="2">
        <v>0</v>
      </c>
      <c r="M205" s="8">
        <v>4</v>
      </c>
      <c r="N205" t="s">
        <v>388</v>
      </c>
      <c r="O205" t="s">
        <v>381</v>
      </c>
      <c r="P205" t="s">
        <v>381</v>
      </c>
      <c r="Q205">
        <v>880</v>
      </c>
      <c r="R205" t="s">
        <v>354</v>
      </c>
      <c r="S205" s="2" t="s">
        <v>3</v>
      </c>
    </row>
    <row r="206" spans="1:20" x14ac:dyDescent="0.25">
      <c r="A206">
        <v>61019</v>
      </c>
      <c r="B206" t="s">
        <v>309</v>
      </c>
      <c r="C206" t="s">
        <v>1344</v>
      </c>
      <c r="D206" t="s">
        <v>1120</v>
      </c>
      <c r="E206" t="s">
        <v>251</v>
      </c>
      <c r="F206" t="s">
        <v>603</v>
      </c>
      <c r="G206" t="s">
        <v>624</v>
      </c>
      <c r="H206" t="s">
        <v>592</v>
      </c>
      <c r="I206" t="s">
        <v>439</v>
      </c>
      <c r="J206" t="s">
        <v>625</v>
      </c>
      <c r="K206" s="9">
        <v>44298</v>
      </c>
      <c r="L206" s="7">
        <v>44298</v>
      </c>
      <c r="M206" s="2">
        <v>4</v>
      </c>
      <c r="N206" t="s">
        <v>388</v>
      </c>
      <c r="O206" t="s">
        <v>380</v>
      </c>
      <c r="P206" t="s">
        <v>432</v>
      </c>
      <c r="Q206">
        <v>842</v>
      </c>
      <c r="R206" t="s">
        <v>309</v>
      </c>
      <c r="S206" s="2" t="s">
        <v>3</v>
      </c>
    </row>
    <row r="207" spans="1:20" x14ac:dyDescent="0.25">
      <c r="A207">
        <v>60495</v>
      </c>
      <c r="B207" t="s">
        <v>296</v>
      </c>
      <c r="C207" t="s">
        <v>1345</v>
      </c>
      <c r="D207" t="s">
        <v>1120</v>
      </c>
      <c r="E207" t="s">
        <v>251</v>
      </c>
      <c r="F207" t="s">
        <v>603</v>
      </c>
      <c r="G207" t="s">
        <v>626</v>
      </c>
      <c r="H207" t="s">
        <v>592</v>
      </c>
      <c r="I207" t="s">
        <v>440</v>
      </c>
      <c r="J207">
        <v>0</v>
      </c>
      <c r="K207" s="9">
        <v>44295</v>
      </c>
      <c r="L207" s="7">
        <v>44295</v>
      </c>
      <c r="M207" s="2">
        <v>4</v>
      </c>
      <c r="N207" t="s">
        <v>388</v>
      </c>
      <c r="O207" t="s">
        <v>380</v>
      </c>
      <c r="P207" t="s">
        <v>432</v>
      </c>
      <c r="Q207">
        <v>851</v>
      </c>
      <c r="R207" t="s">
        <v>296</v>
      </c>
      <c r="S207" s="2" t="s">
        <v>3</v>
      </c>
    </row>
    <row r="208" spans="1:20" x14ac:dyDescent="0.25">
      <c r="A208">
        <v>600046</v>
      </c>
      <c r="B208" t="s">
        <v>331</v>
      </c>
      <c r="C208" t="s">
        <v>1346</v>
      </c>
      <c r="D208" t="s">
        <v>1120</v>
      </c>
      <c r="E208" t="s">
        <v>251</v>
      </c>
      <c r="F208" t="s">
        <v>616</v>
      </c>
      <c r="G208" t="s">
        <v>707</v>
      </c>
      <c r="H208" t="s">
        <v>592</v>
      </c>
      <c r="I208" t="s">
        <v>464</v>
      </c>
      <c r="J208" t="s">
        <v>708</v>
      </c>
      <c r="K208" s="9">
        <v>44529</v>
      </c>
      <c r="L208" s="7">
        <v>44529</v>
      </c>
      <c r="M208" s="8">
        <v>5</v>
      </c>
      <c r="N208" t="s">
        <v>388</v>
      </c>
      <c r="O208" t="s">
        <v>380</v>
      </c>
      <c r="P208" t="s">
        <v>432</v>
      </c>
      <c r="Q208">
        <v>410</v>
      </c>
      <c r="R208" t="s">
        <v>331</v>
      </c>
      <c r="S208" s="2" t="s">
        <v>3</v>
      </c>
    </row>
    <row r="209" spans="1:20" x14ac:dyDescent="0.25">
      <c r="A209">
        <v>600056</v>
      </c>
      <c r="B209" t="s">
        <v>336</v>
      </c>
      <c r="C209" t="s">
        <v>1347</v>
      </c>
      <c r="D209" t="s">
        <v>1120</v>
      </c>
      <c r="E209" t="s">
        <v>251</v>
      </c>
      <c r="F209" t="s">
        <v>616</v>
      </c>
      <c r="G209" t="s">
        <v>756</v>
      </c>
      <c r="H209" t="s">
        <v>592</v>
      </c>
      <c r="I209" t="s">
        <v>478</v>
      </c>
      <c r="J209" t="s">
        <v>757</v>
      </c>
      <c r="K209" s="9">
        <v>44549</v>
      </c>
      <c r="L209" s="7">
        <v>44549</v>
      </c>
      <c r="M209" s="2">
        <v>4</v>
      </c>
      <c r="N209" t="s">
        <v>388</v>
      </c>
      <c r="O209" t="s">
        <v>380</v>
      </c>
      <c r="P209" t="s">
        <v>432</v>
      </c>
      <c r="Q209">
        <v>884</v>
      </c>
      <c r="R209" t="s">
        <v>337</v>
      </c>
      <c r="S209" s="2" t="s">
        <v>3</v>
      </c>
    </row>
    <row r="210" spans="1:20" x14ac:dyDescent="0.25">
      <c r="A210">
        <v>600047</v>
      </c>
      <c r="B210" t="s">
        <v>332</v>
      </c>
      <c r="C210" t="s">
        <v>1348</v>
      </c>
      <c r="D210" t="s">
        <v>1120</v>
      </c>
      <c r="E210" t="s">
        <v>251</v>
      </c>
      <c r="F210" t="s">
        <v>616</v>
      </c>
      <c r="G210" t="s">
        <v>802</v>
      </c>
      <c r="H210" t="s">
        <v>592</v>
      </c>
      <c r="I210" t="s">
        <v>491</v>
      </c>
      <c r="J210" t="s">
        <v>803</v>
      </c>
      <c r="K210" s="9">
        <v>44529</v>
      </c>
      <c r="L210" s="7">
        <v>44529</v>
      </c>
      <c r="M210" s="2">
        <v>4</v>
      </c>
      <c r="N210" t="s">
        <v>388</v>
      </c>
      <c r="O210" t="s">
        <v>380</v>
      </c>
      <c r="P210" t="s">
        <v>432</v>
      </c>
      <c r="Q210">
        <v>885</v>
      </c>
      <c r="R210" t="s">
        <v>333</v>
      </c>
      <c r="S210" s="2" t="s">
        <v>3</v>
      </c>
    </row>
    <row r="211" spans="1:20" x14ac:dyDescent="0.25">
      <c r="A211">
        <v>60498</v>
      </c>
      <c r="B211" t="s">
        <v>297</v>
      </c>
      <c r="C211" t="s">
        <v>1349</v>
      </c>
      <c r="D211" t="s">
        <v>1120</v>
      </c>
      <c r="E211" t="s">
        <v>251</v>
      </c>
      <c r="F211" t="s">
        <v>603</v>
      </c>
      <c r="G211" t="s">
        <v>909</v>
      </c>
      <c r="H211" t="s">
        <v>910</v>
      </c>
      <c r="I211" t="s">
        <v>513</v>
      </c>
      <c r="J211" t="s">
        <v>911</v>
      </c>
      <c r="K211" s="9">
        <v>44298</v>
      </c>
      <c r="L211" s="7">
        <v>44298</v>
      </c>
      <c r="M211" s="2">
        <v>4</v>
      </c>
      <c r="N211" t="s">
        <v>388</v>
      </c>
      <c r="O211" t="s">
        <v>380</v>
      </c>
      <c r="P211" t="s">
        <v>432</v>
      </c>
      <c r="Q211">
        <v>843</v>
      </c>
      <c r="R211" t="s">
        <v>297</v>
      </c>
      <c r="S211" s="2" t="s">
        <v>3</v>
      </c>
    </row>
    <row r="212" spans="1:20" x14ac:dyDescent="0.25">
      <c r="A212">
        <v>50733</v>
      </c>
      <c r="B212" t="s">
        <v>269</v>
      </c>
      <c r="C212" t="s">
        <v>1350</v>
      </c>
      <c r="D212" t="s">
        <v>1120</v>
      </c>
      <c r="E212" t="s">
        <v>251</v>
      </c>
      <c r="F212" t="s">
        <v>616</v>
      </c>
      <c r="G212" t="s">
        <v>997</v>
      </c>
      <c r="H212" t="s">
        <v>592</v>
      </c>
      <c r="I212" t="s">
        <v>532</v>
      </c>
      <c r="J212" t="s">
        <v>998</v>
      </c>
      <c r="L212" s="2">
        <v>0</v>
      </c>
      <c r="M212" s="2">
        <v>4</v>
      </c>
      <c r="N212" t="s">
        <v>388</v>
      </c>
      <c r="O212" t="s">
        <v>380</v>
      </c>
      <c r="P212" t="s">
        <v>432</v>
      </c>
      <c r="Q212">
        <v>301</v>
      </c>
      <c r="R212" t="s">
        <v>270</v>
      </c>
      <c r="S212" s="2" t="s">
        <v>3</v>
      </c>
    </row>
    <row r="213" spans="1:20" x14ac:dyDescent="0.25">
      <c r="A213">
        <v>600057</v>
      </c>
      <c r="B213" t="s">
        <v>338</v>
      </c>
      <c r="C213" t="s">
        <v>1351</v>
      </c>
      <c r="D213" t="s">
        <v>1120</v>
      </c>
      <c r="E213" t="s">
        <v>251</v>
      </c>
      <c r="F213" t="s">
        <v>616</v>
      </c>
      <c r="G213" t="s">
        <v>1387</v>
      </c>
      <c r="H213" t="s">
        <v>592</v>
      </c>
      <c r="I213" t="s">
        <v>545</v>
      </c>
      <c r="J213" t="s">
        <v>1056</v>
      </c>
      <c r="L213" s="2">
        <v>0</v>
      </c>
      <c r="M213" s="8">
        <v>4</v>
      </c>
      <c r="N213" t="s">
        <v>388</v>
      </c>
      <c r="O213" t="s">
        <v>380</v>
      </c>
      <c r="P213" t="s">
        <v>432</v>
      </c>
      <c r="Q213">
        <v>888</v>
      </c>
      <c r="R213" t="s">
        <v>339</v>
      </c>
      <c r="S213" s="2" t="s">
        <v>3</v>
      </c>
    </row>
    <row r="214" spans="1:20" x14ac:dyDescent="0.25">
      <c r="A214">
        <v>60007</v>
      </c>
      <c r="B214" t="s">
        <v>290</v>
      </c>
      <c r="C214" t="s">
        <v>1352</v>
      </c>
      <c r="D214" t="s">
        <v>1120</v>
      </c>
      <c r="E214" t="s">
        <v>251</v>
      </c>
      <c r="F214" t="s">
        <v>603</v>
      </c>
      <c r="G214" t="s">
        <v>1097</v>
      </c>
      <c r="H214" t="s">
        <v>592</v>
      </c>
      <c r="I214" t="s">
        <v>555</v>
      </c>
      <c r="J214" t="s">
        <v>1098</v>
      </c>
      <c r="L214" s="2">
        <v>0</v>
      </c>
      <c r="M214" s="2">
        <v>6</v>
      </c>
      <c r="N214" t="s">
        <v>388</v>
      </c>
      <c r="O214" t="s">
        <v>380</v>
      </c>
      <c r="P214" t="s">
        <v>428</v>
      </c>
      <c r="Q214">
        <v>292</v>
      </c>
      <c r="R214" t="s">
        <v>291</v>
      </c>
      <c r="S214" s="2" t="s">
        <v>3</v>
      </c>
    </row>
    <row r="215" spans="1:20" x14ac:dyDescent="0.25">
      <c r="A215">
        <v>60494</v>
      </c>
      <c r="B215" t="s">
        <v>295</v>
      </c>
      <c r="C215" t="s">
        <v>1353</v>
      </c>
      <c r="D215" t="s">
        <v>1120</v>
      </c>
      <c r="E215" t="s">
        <v>251</v>
      </c>
      <c r="F215" t="s">
        <v>603</v>
      </c>
      <c r="G215" t="s">
        <v>1099</v>
      </c>
      <c r="H215" t="s">
        <v>1100</v>
      </c>
      <c r="I215" t="s">
        <v>555</v>
      </c>
      <c r="J215">
        <v>0</v>
      </c>
      <c r="K215" s="9">
        <v>44291</v>
      </c>
      <c r="L215" s="7">
        <v>44291</v>
      </c>
      <c r="M215" s="2">
        <v>4</v>
      </c>
      <c r="N215" t="s">
        <v>388</v>
      </c>
      <c r="O215" t="s">
        <v>380</v>
      </c>
      <c r="P215" t="s">
        <v>428</v>
      </c>
      <c r="Q215">
        <v>853</v>
      </c>
      <c r="R215" t="s">
        <v>295</v>
      </c>
      <c r="S215" s="2" t="s">
        <v>3</v>
      </c>
    </row>
    <row r="216" spans="1:20" x14ac:dyDescent="0.25">
      <c r="A216">
        <v>60099</v>
      </c>
      <c r="B216" t="s">
        <v>292</v>
      </c>
      <c r="C216" t="s">
        <v>1354</v>
      </c>
      <c r="D216" t="s">
        <v>400</v>
      </c>
      <c r="E216" t="s">
        <v>251</v>
      </c>
      <c r="F216" t="s">
        <v>603</v>
      </c>
      <c r="G216" t="s">
        <v>916</v>
      </c>
      <c r="H216" t="s">
        <v>917</v>
      </c>
      <c r="I216" t="s">
        <v>516</v>
      </c>
      <c r="J216" t="s">
        <v>918</v>
      </c>
      <c r="K216" s="9">
        <v>44389</v>
      </c>
      <c r="L216" s="7">
        <v>44389</v>
      </c>
      <c r="M216" s="2">
        <v>5</v>
      </c>
      <c r="N216" t="s">
        <v>388</v>
      </c>
      <c r="O216" t="s">
        <v>380</v>
      </c>
      <c r="P216" t="s">
        <v>428</v>
      </c>
      <c r="Q216">
        <v>854</v>
      </c>
      <c r="R216" t="s">
        <v>293</v>
      </c>
      <c r="S216" s="2" t="s">
        <v>3</v>
      </c>
    </row>
    <row r="217" spans="1:20" x14ac:dyDescent="0.25">
      <c r="A217">
        <v>61045</v>
      </c>
      <c r="B217" t="s">
        <v>310</v>
      </c>
      <c r="C217" t="s">
        <v>1355</v>
      </c>
      <c r="D217" t="s">
        <v>400</v>
      </c>
      <c r="E217" t="s">
        <v>251</v>
      </c>
      <c r="F217" t="s">
        <v>603</v>
      </c>
      <c r="G217" t="s">
        <v>919</v>
      </c>
      <c r="H217" t="s">
        <v>452</v>
      </c>
      <c r="I217" t="s">
        <v>516</v>
      </c>
      <c r="J217" t="s">
        <v>920</v>
      </c>
      <c r="K217" s="9">
        <v>44319</v>
      </c>
      <c r="L217" s="7">
        <v>44319</v>
      </c>
      <c r="M217" s="2">
        <v>6</v>
      </c>
      <c r="N217" t="s">
        <v>388</v>
      </c>
      <c r="O217" t="s">
        <v>380</v>
      </c>
      <c r="P217" t="s">
        <v>428</v>
      </c>
      <c r="Q217">
        <v>857</v>
      </c>
      <c r="R217" t="s">
        <v>311</v>
      </c>
      <c r="S217" s="2" t="s">
        <v>3</v>
      </c>
    </row>
    <row r="218" spans="1:20" x14ac:dyDescent="0.25">
      <c r="A218">
        <v>60503</v>
      </c>
      <c r="B218" t="s">
        <v>304</v>
      </c>
      <c r="C218" t="s">
        <v>1356</v>
      </c>
      <c r="D218" t="s">
        <v>400</v>
      </c>
      <c r="E218" t="s">
        <v>251</v>
      </c>
      <c r="F218" t="s">
        <v>603</v>
      </c>
      <c r="G218" t="s">
        <v>717</v>
      </c>
      <c r="H218" t="s">
        <v>718</v>
      </c>
      <c r="I218" t="s">
        <v>467</v>
      </c>
      <c r="J218" t="s">
        <v>719</v>
      </c>
      <c r="K218" s="9">
        <v>44326</v>
      </c>
      <c r="L218" s="7">
        <v>44326</v>
      </c>
      <c r="M218" s="2">
        <v>6</v>
      </c>
      <c r="N218" t="s">
        <v>388</v>
      </c>
      <c r="O218" t="s">
        <v>380</v>
      </c>
      <c r="P218" t="s">
        <v>432</v>
      </c>
      <c r="Q218">
        <v>861</v>
      </c>
      <c r="R218" t="s">
        <v>305</v>
      </c>
      <c r="S218" s="2" t="s">
        <v>3</v>
      </c>
      <c r="T218" t="s">
        <v>3</v>
      </c>
    </row>
    <row r="219" spans="1:20" x14ac:dyDescent="0.25">
      <c r="A219">
        <v>60501</v>
      </c>
      <c r="B219" t="s">
        <v>300</v>
      </c>
      <c r="C219" t="s">
        <v>1357</v>
      </c>
      <c r="D219" t="s">
        <v>400</v>
      </c>
      <c r="E219" t="s">
        <v>251</v>
      </c>
      <c r="F219" t="s">
        <v>603</v>
      </c>
      <c r="G219" t="s">
        <v>921</v>
      </c>
      <c r="H219" t="s">
        <v>922</v>
      </c>
      <c r="I219" t="s">
        <v>516</v>
      </c>
      <c r="J219" t="s">
        <v>923</v>
      </c>
      <c r="K219" s="9">
        <v>44361</v>
      </c>
      <c r="L219" s="7">
        <v>44361</v>
      </c>
      <c r="M219" s="2">
        <v>7</v>
      </c>
      <c r="N219" t="s">
        <v>388</v>
      </c>
      <c r="O219" t="s">
        <v>380</v>
      </c>
      <c r="P219" t="s">
        <v>428</v>
      </c>
      <c r="Q219">
        <v>856</v>
      </c>
      <c r="R219" t="s">
        <v>301</v>
      </c>
      <c r="S219" s="2" t="s">
        <v>3</v>
      </c>
    </row>
    <row r="220" spans="1:20" x14ac:dyDescent="0.25">
      <c r="A220">
        <v>60502</v>
      </c>
      <c r="B220" t="s">
        <v>302</v>
      </c>
      <c r="C220" t="s">
        <v>1358</v>
      </c>
      <c r="D220" t="s">
        <v>400</v>
      </c>
      <c r="E220" t="s">
        <v>251</v>
      </c>
      <c r="F220" t="s">
        <v>603</v>
      </c>
      <c r="G220" t="s">
        <v>924</v>
      </c>
      <c r="H220" t="s">
        <v>925</v>
      </c>
      <c r="I220" t="s">
        <v>516</v>
      </c>
      <c r="J220" t="s">
        <v>926</v>
      </c>
      <c r="K220" s="9">
        <v>44312</v>
      </c>
      <c r="L220" s="7">
        <v>44312</v>
      </c>
      <c r="M220" s="2">
        <v>4</v>
      </c>
      <c r="N220" t="s">
        <v>388</v>
      </c>
      <c r="O220" t="s">
        <v>380</v>
      </c>
      <c r="P220" t="s">
        <v>428</v>
      </c>
      <c r="Q220">
        <v>858</v>
      </c>
      <c r="R220" t="s">
        <v>303</v>
      </c>
      <c r="S220" s="2" t="s">
        <v>3</v>
      </c>
    </row>
    <row r="221" spans="1:20" x14ac:dyDescent="0.25">
      <c r="A221">
        <v>60500</v>
      </c>
      <c r="B221" t="s">
        <v>298</v>
      </c>
      <c r="C221" t="s">
        <v>1359</v>
      </c>
      <c r="D221" t="s">
        <v>400</v>
      </c>
      <c r="E221" t="s">
        <v>251</v>
      </c>
      <c r="F221" t="s">
        <v>603</v>
      </c>
      <c r="G221" t="s">
        <v>834</v>
      </c>
      <c r="H221" t="s">
        <v>592</v>
      </c>
      <c r="I221" t="s">
        <v>498</v>
      </c>
      <c r="J221" t="s">
        <v>835</v>
      </c>
      <c r="K221" s="9">
        <v>44340</v>
      </c>
      <c r="L221" s="7">
        <v>44340</v>
      </c>
      <c r="M221" s="2">
        <v>5</v>
      </c>
      <c r="N221" t="s">
        <v>388</v>
      </c>
      <c r="O221" t="s">
        <v>380</v>
      </c>
      <c r="P221" t="s">
        <v>432</v>
      </c>
      <c r="Q221">
        <v>862</v>
      </c>
      <c r="R221" t="s">
        <v>299</v>
      </c>
      <c r="S221" s="2" t="s">
        <v>3</v>
      </c>
    </row>
    <row r="222" spans="1:20" x14ac:dyDescent="0.25">
      <c r="A222">
        <v>60507</v>
      </c>
      <c r="B222" t="s">
        <v>1443</v>
      </c>
      <c r="C222" t="s">
        <v>1172</v>
      </c>
      <c r="D222" t="s">
        <v>400</v>
      </c>
      <c r="E222" t="s">
        <v>251</v>
      </c>
      <c r="F222" t="s">
        <v>603</v>
      </c>
      <c r="G222" t="s">
        <v>836</v>
      </c>
      <c r="H222" t="s">
        <v>592</v>
      </c>
      <c r="I222" t="s">
        <v>499</v>
      </c>
      <c r="J222" t="s">
        <v>837</v>
      </c>
      <c r="L222" s="2">
        <v>0</v>
      </c>
      <c r="M222" s="2">
        <v>5</v>
      </c>
      <c r="N222" t="s">
        <v>388</v>
      </c>
      <c r="O222" t="s">
        <v>380</v>
      </c>
      <c r="P222" t="s">
        <v>432</v>
      </c>
      <c r="Q222">
        <v>855</v>
      </c>
      <c r="R222" t="s">
        <v>306</v>
      </c>
      <c r="S222" s="2" t="s">
        <v>3</v>
      </c>
    </row>
    <row r="223" spans="1:20" x14ac:dyDescent="0.25">
      <c r="A223">
        <v>60900</v>
      </c>
      <c r="B223" t="s">
        <v>307</v>
      </c>
      <c r="C223" t="s">
        <v>1360</v>
      </c>
      <c r="D223" t="s">
        <v>400</v>
      </c>
      <c r="E223" t="s">
        <v>251</v>
      </c>
      <c r="F223" t="s">
        <v>603</v>
      </c>
      <c r="G223" t="s">
        <v>1388</v>
      </c>
      <c r="H223" t="s">
        <v>592</v>
      </c>
      <c r="I223" t="s">
        <v>516</v>
      </c>
      <c r="J223" t="s">
        <v>1396</v>
      </c>
      <c r="L223" s="2">
        <v>0</v>
      </c>
      <c r="M223" s="2">
        <v>5</v>
      </c>
      <c r="N223" t="s">
        <v>388</v>
      </c>
      <c r="O223" t="s">
        <v>380</v>
      </c>
      <c r="P223" t="s">
        <v>428</v>
      </c>
      <c r="Q223">
        <v>629</v>
      </c>
      <c r="R223" t="s">
        <v>308</v>
      </c>
      <c r="S223" s="2" t="s">
        <v>3</v>
      </c>
      <c r="T223" t="s">
        <v>3</v>
      </c>
    </row>
    <row r="224" spans="1:20" x14ac:dyDescent="0.25">
      <c r="A224">
        <v>96715</v>
      </c>
      <c r="B224" t="s">
        <v>1162</v>
      </c>
      <c r="C224" t="s">
        <v>1172</v>
      </c>
      <c r="D224" t="s">
        <v>1145</v>
      </c>
      <c r="E224" t="s">
        <v>122</v>
      </c>
      <c r="F224" t="s">
        <v>629</v>
      </c>
      <c r="G224" t="s">
        <v>1389</v>
      </c>
      <c r="H224" t="s">
        <v>592</v>
      </c>
      <c r="I224" t="s">
        <v>1401</v>
      </c>
      <c r="J224" t="s">
        <v>1402</v>
      </c>
      <c r="M224" s="2">
        <v>3</v>
      </c>
      <c r="O224" t="s">
        <v>380</v>
      </c>
      <c r="Q224">
        <v>514</v>
      </c>
      <c r="S224" s="2" t="s">
        <v>3</v>
      </c>
    </row>
    <row r="225" spans="1:19" x14ac:dyDescent="0.25">
      <c r="A225">
        <v>49001</v>
      </c>
      <c r="B225" t="s">
        <v>1403</v>
      </c>
      <c r="C225" t="s">
        <v>1172</v>
      </c>
      <c r="D225" t="s">
        <v>1291</v>
      </c>
      <c r="E225" t="s">
        <v>122</v>
      </c>
      <c r="F225" t="s">
        <v>638</v>
      </c>
      <c r="G225" t="s">
        <v>1404</v>
      </c>
      <c r="H225" t="s">
        <v>592</v>
      </c>
      <c r="I225" t="s">
        <v>1405</v>
      </c>
      <c r="J225" t="s">
        <v>1406</v>
      </c>
      <c r="M225" s="2">
        <v>3</v>
      </c>
      <c r="Q225">
        <v>529</v>
      </c>
      <c r="S225" s="2" t="s">
        <v>3</v>
      </c>
    </row>
    <row r="226" spans="1:19" x14ac:dyDescent="0.25">
      <c r="A226">
        <v>13977</v>
      </c>
      <c r="B226" t="s">
        <v>1407</v>
      </c>
      <c r="C226" t="s">
        <v>1172</v>
      </c>
      <c r="D226" t="s">
        <v>1115</v>
      </c>
      <c r="E226" t="s">
        <v>165</v>
      </c>
      <c r="F226" t="s">
        <v>845</v>
      </c>
      <c r="G226" t="s">
        <v>1408</v>
      </c>
      <c r="H226" t="s">
        <v>592</v>
      </c>
      <c r="I226" t="s">
        <v>1409</v>
      </c>
      <c r="J226" t="s">
        <v>1410</v>
      </c>
      <c r="M226" s="2">
        <v>3</v>
      </c>
      <c r="Q226">
        <v>535</v>
      </c>
      <c r="S226" s="2" t="s">
        <v>3</v>
      </c>
    </row>
    <row r="227" spans="1:19" x14ac:dyDescent="0.25">
      <c r="A227">
        <v>7752</v>
      </c>
      <c r="B227" t="s">
        <v>1411</v>
      </c>
      <c r="C227" t="s">
        <v>1172</v>
      </c>
      <c r="D227" t="s">
        <v>1291</v>
      </c>
      <c r="E227" t="s">
        <v>122</v>
      </c>
      <c r="F227" t="s">
        <v>937</v>
      </c>
      <c r="G227" t="s">
        <v>1412</v>
      </c>
      <c r="H227" t="s">
        <v>592</v>
      </c>
      <c r="I227" t="s">
        <v>1413</v>
      </c>
      <c r="J227" t="s">
        <v>1414</v>
      </c>
      <c r="M227" s="2">
        <v>3</v>
      </c>
      <c r="Q227">
        <v>534</v>
      </c>
      <c r="S227" s="2" t="s">
        <v>3</v>
      </c>
    </row>
    <row r="228" spans="1:19" x14ac:dyDescent="0.25">
      <c r="A228">
        <v>7751</v>
      </c>
      <c r="B228" t="s">
        <v>1415</v>
      </c>
      <c r="C228" t="s">
        <v>1172</v>
      </c>
      <c r="D228" t="s">
        <v>1291</v>
      </c>
      <c r="E228" t="s">
        <v>122</v>
      </c>
      <c r="F228" t="s">
        <v>937</v>
      </c>
      <c r="G228" t="s">
        <v>1416</v>
      </c>
      <c r="H228" t="s">
        <v>592</v>
      </c>
      <c r="I228" t="s">
        <v>1417</v>
      </c>
      <c r="J228" t="s">
        <v>1418</v>
      </c>
      <c r="M228" s="2">
        <v>4</v>
      </c>
      <c r="Q228">
        <v>533</v>
      </c>
      <c r="S228" s="2" t="s">
        <v>3</v>
      </c>
    </row>
    <row r="229" spans="1:19" x14ac:dyDescent="0.25">
      <c r="A229">
        <v>7749</v>
      </c>
      <c r="B229" t="s">
        <v>1419</v>
      </c>
      <c r="C229" t="s">
        <v>1172</v>
      </c>
      <c r="D229" t="s">
        <v>1291</v>
      </c>
      <c r="E229" t="s">
        <v>122</v>
      </c>
      <c r="F229" t="s">
        <v>937</v>
      </c>
      <c r="G229" t="s">
        <v>1420</v>
      </c>
      <c r="H229" t="s">
        <v>592</v>
      </c>
      <c r="I229" t="s">
        <v>1421</v>
      </c>
      <c r="J229" t="s">
        <v>1422</v>
      </c>
      <c r="M229" s="2">
        <v>4</v>
      </c>
      <c r="Q229">
        <v>530</v>
      </c>
      <c r="S229" s="2" t="s">
        <v>3</v>
      </c>
    </row>
    <row r="230" spans="1:19" x14ac:dyDescent="0.25">
      <c r="A230">
        <v>7750</v>
      </c>
      <c r="B230" t="s">
        <v>1423</v>
      </c>
      <c r="C230" t="s">
        <v>1172</v>
      </c>
      <c r="D230" t="s">
        <v>1291</v>
      </c>
      <c r="E230" t="s">
        <v>122</v>
      </c>
      <c r="F230" t="s">
        <v>937</v>
      </c>
      <c r="G230" t="s">
        <v>1424</v>
      </c>
      <c r="H230" t="s">
        <v>413</v>
      </c>
      <c r="I230" t="s">
        <v>1425</v>
      </c>
      <c r="J230" t="s">
        <v>1426</v>
      </c>
      <c r="M230" s="2">
        <v>4</v>
      </c>
      <c r="Q230">
        <v>531</v>
      </c>
      <c r="S230" s="2" t="s">
        <v>3</v>
      </c>
    </row>
    <row r="231" spans="1:19" x14ac:dyDescent="0.25">
      <c r="A231">
        <v>7753</v>
      </c>
      <c r="B231" t="s">
        <v>1427</v>
      </c>
      <c r="C231" t="s">
        <v>1172</v>
      </c>
      <c r="D231" t="s">
        <v>1291</v>
      </c>
      <c r="E231" t="s">
        <v>122</v>
      </c>
      <c r="F231" t="s">
        <v>937</v>
      </c>
      <c r="G231" t="s">
        <v>1428</v>
      </c>
      <c r="H231" t="s">
        <v>592</v>
      </c>
      <c r="I231" t="s">
        <v>1429</v>
      </c>
      <c r="J231" t="s">
        <v>1430</v>
      </c>
      <c r="M231" s="2">
        <v>3</v>
      </c>
      <c r="Q231">
        <v>532</v>
      </c>
      <c r="S231" s="2" t="s">
        <v>3</v>
      </c>
    </row>
    <row r="232" spans="1:19" x14ac:dyDescent="0.25">
      <c r="A232">
        <v>7754</v>
      </c>
      <c r="B232" t="s">
        <v>1445</v>
      </c>
      <c r="C232" t="s">
        <v>1172</v>
      </c>
      <c r="D232" t="s">
        <v>399</v>
      </c>
      <c r="E232" t="s">
        <v>165</v>
      </c>
      <c r="F232" t="s">
        <v>638</v>
      </c>
      <c r="K232" s="9">
        <v>45488</v>
      </c>
      <c r="L232"/>
      <c r="M232" s="2">
        <v>3</v>
      </c>
      <c r="Q232">
        <v>748</v>
      </c>
      <c r="S232" s="2" t="s">
        <v>3</v>
      </c>
    </row>
    <row r="233" spans="1:19" x14ac:dyDescent="0.25">
      <c r="A233">
        <v>11962</v>
      </c>
      <c r="B233" t="s">
        <v>1446</v>
      </c>
      <c r="C233" t="s">
        <v>1172</v>
      </c>
      <c r="D233" t="s">
        <v>124</v>
      </c>
      <c r="E233" t="s">
        <v>251</v>
      </c>
      <c r="F233" t="s">
        <v>681</v>
      </c>
      <c r="K233"/>
      <c r="L233"/>
      <c r="M233" s="2">
        <v>4</v>
      </c>
      <c r="Q233">
        <v>537</v>
      </c>
      <c r="S233" s="2" t="s">
        <v>3</v>
      </c>
    </row>
    <row r="234" spans="1:19" x14ac:dyDescent="0.25">
      <c r="A234">
        <v>11963</v>
      </c>
      <c r="B234" t="s">
        <v>1447</v>
      </c>
      <c r="C234" t="s">
        <v>1172</v>
      </c>
      <c r="D234" t="s">
        <v>124</v>
      </c>
      <c r="E234" t="s">
        <v>251</v>
      </c>
      <c r="F234" t="s">
        <v>681</v>
      </c>
      <c r="K234"/>
      <c r="L234"/>
      <c r="M234" s="2">
        <v>4</v>
      </c>
      <c r="Q234">
        <v>538</v>
      </c>
      <c r="S234" s="2" t="s">
        <v>3</v>
      </c>
    </row>
    <row r="235" spans="1:19" x14ac:dyDescent="0.25">
      <c r="A235">
        <v>149100</v>
      </c>
      <c r="B235" t="s">
        <v>1451</v>
      </c>
      <c r="C235" t="s">
        <v>1172</v>
      </c>
      <c r="D235" t="s">
        <v>1124</v>
      </c>
      <c r="E235" t="s">
        <v>1123</v>
      </c>
      <c r="F235" t="s">
        <v>590</v>
      </c>
      <c r="K235"/>
      <c r="L235"/>
      <c r="M235" s="2">
        <v>0</v>
      </c>
      <c r="Q235">
        <v>871</v>
      </c>
      <c r="S235" s="2" t="s">
        <v>3</v>
      </c>
    </row>
    <row r="236" spans="1:19" x14ac:dyDescent="0.25">
      <c r="A236">
        <v>94390</v>
      </c>
      <c r="B236" t="s">
        <v>1448</v>
      </c>
      <c r="C236" t="s">
        <v>1172</v>
      </c>
      <c r="D236" t="s">
        <v>1450</v>
      </c>
      <c r="E236" t="s">
        <v>10</v>
      </c>
      <c r="F236" t="s">
        <v>590</v>
      </c>
      <c r="K236"/>
      <c r="L236"/>
      <c r="M236" s="2">
        <v>5</v>
      </c>
      <c r="Q236">
        <v>510</v>
      </c>
      <c r="S236" s="2" t="s">
        <v>3</v>
      </c>
    </row>
    <row r="237" spans="1:19" x14ac:dyDescent="0.25">
      <c r="A237">
        <v>1525</v>
      </c>
      <c r="B237" t="s">
        <v>1449</v>
      </c>
      <c r="C237" t="s">
        <v>1172</v>
      </c>
      <c r="D237" t="s">
        <v>1450</v>
      </c>
      <c r="E237" t="s">
        <v>10</v>
      </c>
      <c r="F237" t="s">
        <v>590</v>
      </c>
      <c r="K237"/>
      <c r="L237"/>
      <c r="M237" s="2">
        <v>3</v>
      </c>
      <c r="Q237">
        <v>108</v>
      </c>
      <c r="S237" s="2" t="s">
        <v>3</v>
      </c>
    </row>
    <row r="238" spans="1:19" x14ac:dyDescent="0.25">
      <c r="A238">
        <v>149300</v>
      </c>
      <c r="B238" t="s">
        <v>1452</v>
      </c>
      <c r="C238" t="s">
        <v>1172</v>
      </c>
      <c r="D238" t="s">
        <v>1456</v>
      </c>
      <c r="E238" t="s">
        <v>1123</v>
      </c>
      <c r="F238" t="s">
        <v>590</v>
      </c>
      <c r="K238"/>
      <c r="L238"/>
      <c r="M238" s="2">
        <v>0</v>
      </c>
      <c r="Q238">
        <v>898</v>
      </c>
      <c r="S238" s="2" t="s">
        <v>3</v>
      </c>
    </row>
    <row r="239" spans="1:19" x14ac:dyDescent="0.25">
      <c r="A239">
        <v>159500</v>
      </c>
      <c r="B239" t="s">
        <v>1453</v>
      </c>
      <c r="C239" t="s">
        <v>1172</v>
      </c>
      <c r="D239" t="s">
        <v>1456</v>
      </c>
      <c r="E239" t="s">
        <v>1123</v>
      </c>
      <c r="F239" t="s">
        <v>590</v>
      </c>
      <c r="K239"/>
      <c r="L239"/>
      <c r="M239" s="2">
        <v>0</v>
      </c>
      <c r="Q239">
        <v>904</v>
      </c>
      <c r="S239" s="2" t="s">
        <v>3</v>
      </c>
    </row>
    <row r="240" spans="1:19" x14ac:dyDescent="0.25">
      <c r="A240">
        <v>149900</v>
      </c>
      <c r="B240" t="s">
        <v>1454</v>
      </c>
      <c r="C240" t="s">
        <v>1172</v>
      </c>
      <c r="D240" t="s">
        <v>1124</v>
      </c>
      <c r="E240" t="s">
        <v>1123</v>
      </c>
      <c r="F240" t="s">
        <v>590</v>
      </c>
      <c r="K240"/>
      <c r="L240"/>
      <c r="M240" s="2">
        <v>0</v>
      </c>
      <c r="Q240">
        <v>899</v>
      </c>
      <c r="S240" s="2" t="s">
        <v>3</v>
      </c>
    </row>
    <row r="241" spans="1:19" x14ac:dyDescent="0.25">
      <c r="A241" s="22">
        <v>149200</v>
      </c>
      <c r="B241" t="s">
        <v>1455</v>
      </c>
      <c r="C241" t="s">
        <v>1172</v>
      </c>
      <c r="D241" t="s">
        <v>1456</v>
      </c>
      <c r="E241" t="s">
        <v>1123</v>
      </c>
      <c r="F241" t="s">
        <v>590</v>
      </c>
      <c r="K241"/>
      <c r="L241"/>
      <c r="M241" s="2">
        <v>0</v>
      </c>
      <c r="Q241">
        <v>896</v>
      </c>
      <c r="S241" s="2" t="s">
        <v>3</v>
      </c>
    </row>
    <row r="242" spans="1:19" x14ac:dyDescent="0.25">
      <c r="A242">
        <v>61049</v>
      </c>
      <c r="B242" t="s">
        <v>1457</v>
      </c>
      <c r="C242" t="s">
        <v>1172</v>
      </c>
      <c r="D242" t="s">
        <v>400</v>
      </c>
      <c r="E242" t="s">
        <v>251</v>
      </c>
      <c r="F242" t="s">
        <v>603</v>
      </c>
      <c r="K242"/>
      <c r="L242"/>
      <c r="M242" s="2">
        <v>3</v>
      </c>
      <c r="Q242">
        <v>540</v>
      </c>
      <c r="S242" s="2" t="s">
        <v>3</v>
      </c>
    </row>
    <row r="243" spans="1:19" x14ac:dyDescent="0.25">
      <c r="A243">
        <v>159100</v>
      </c>
      <c r="B243" t="s">
        <v>1458</v>
      </c>
      <c r="C243" t="s">
        <v>1172</v>
      </c>
      <c r="D243" t="s">
        <v>1456</v>
      </c>
      <c r="E243" t="s">
        <v>1123</v>
      </c>
      <c r="F243" t="s">
        <v>590</v>
      </c>
      <c r="K243"/>
      <c r="L243"/>
      <c r="M243" s="2">
        <v>0</v>
      </c>
      <c r="Q243">
        <v>900</v>
      </c>
      <c r="S243" s="2" t="s">
        <v>3</v>
      </c>
    </row>
    <row r="244" spans="1:19" x14ac:dyDescent="0.25">
      <c r="A244">
        <v>159400</v>
      </c>
      <c r="B244" t="s">
        <v>1459</v>
      </c>
      <c r="C244" t="s">
        <v>1172</v>
      </c>
      <c r="D244" t="s">
        <v>1456</v>
      </c>
      <c r="E244" t="s">
        <v>1123</v>
      </c>
      <c r="F244" t="s">
        <v>590</v>
      </c>
      <c r="K244"/>
      <c r="L244"/>
      <c r="M244" s="2">
        <v>0</v>
      </c>
      <c r="S244" s="2" t="s">
        <v>3</v>
      </c>
    </row>
    <row r="245" spans="1:19" x14ac:dyDescent="0.25">
      <c r="A245">
        <v>19880</v>
      </c>
      <c r="B245" t="s">
        <v>206</v>
      </c>
      <c r="C245" t="s">
        <v>1269</v>
      </c>
      <c r="D245" t="s">
        <v>366</v>
      </c>
      <c r="E245" t="s">
        <v>10</v>
      </c>
      <c r="F245" t="s">
        <v>590</v>
      </c>
      <c r="G245" t="s">
        <v>954</v>
      </c>
      <c r="H245" t="s">
        <v>592</v>
      </c>
      <c r="I245" t="s">
        <v>520</v>
      </c>
      <c r="J245" t="s">
        <v>955</v>
      </c>
      <c r="L245" s="2">
        <v>0</v>
      </c>
      <c r="M245" s="2">
        <v>4</v>
      </c>
      <c r="N245" t="s">
        <v>388</v>
      </c>
      <c r="O245" t="s">
        <v>380</v>
      </c>
      <c r="P245" t="s">
        <v>432</v>
      </c>
      <c r="Q245">
        <v>710</v>
      </c>
      <c r="R245" t="s">
        <v>207</v>
      </c>
      <c r="S245" s="2" t="s">
        <v>3</v>
      </c>
    </row>
    <row r="246" spans="1:19" x14ac:dyDescent="0.25">
      <c r="A246">
        <v>1494</v>
      </c>
      <c r="B246" t="s">
        <v>74</v>
      </c>
      <c r="C246" t="s">
        <v>1172</v>
      </c>
      <c r="D246" t="s">
        <v>18</v>
      </c>
      <c r="E246" t="s">
        <v>10</v>
      </c>
      <c r="F246" t="s">
        <v>590</v>
      </c>
      <c r="G246" t="s">
        <v>768</v>
      </c>
      <c r="H246" t="s">
        <v>592</v>
      </c>
      <c r="I246" t="s">
        <v>480</v>
      </c>
      <c r="J246" t="s">
        <v>767</v>
      </c>
      <c r="L246" s="2">
        <v>0</v>
      </c>
      <c r="M246" s="2">
        <v>6</v>
      </c>
      <c r="N246" t="s">
        <v>388</v>
      </c>
      <c r="O246" t="s">
        <v>380</v>
      </c>
      <c r="P246" t="s">
        <v>428</v>
      </c>
      <c r="Q246">
        <v>254</v>
      </c>
      <c r="R246" t="s">
        <v>75</v>
      </c>
      <c r="S246" s="2" t="s">
        <v>427</v>
      </c>
    </row>
    <row r="247" spans="1:19" x14ac:dyDescent="0.25">
      <c r="A247">
        <v>10608</v>
      </c>
      <c r="B247" t="s">
        <v>148</v>
      </c>
      <c r="C247" t="s">
        <v>1172</v>
      </c>
      <c r="D247" t="s">
        <v>366</v>
      </c>
      <c r="E247" t="s">
        <v>10</v>
      </c>
      <c r="F247" t="s">
        <v>590</v>
      </c>
      <c r="G247" t="s">
        <v>1074</v>
      </c>
      <c r="H247" t="s">
        <v>592</v>
      </c>
      <c r="I247" t="s">
        <v>1075</v>
      </c>
      <c r="J247" t="s">
        <v>1076</v>
      </c>
      <c r="L247" s="2">
        <v>0</v>
      </c>
      <c r="M247" s="2">
        <v>3</v>
      </c>
      <c r="N247" t="s">
        <v>388</v>
      </c>
      <c r="O247" t="s">
        <v>381</v>
      </c>
      <c r="P247" t="s">
        <v>381</v>
      </c>
      <c r="Q247">
        <v>762</v>
      </c>
      <c r="R247" t="s">
        <v>149</v>
      </c>
      <c r="S247" s="2" t="s">
        <v>427</v>
      </c>
    </row>
    <row r="248" spans="1:19" x14ac:dyDescent="0.25">
      <c r="A248">
        <v>19790</v>
      </c>
      <c r="B248" t="s">
        <v>204</v>
      </c>
      <c r="C248" t="s">
        <v>1172</v>
      </c>
      <c r="D248" t="s">
        <v>391</v>
      </c>
      <c r="E248" t="s">
        <v>10</v>
      </c>
      <c r="F248" t="s">
        <v>590</v>
      </c>
      <c r="G248" t="s">
        <v>871</v>
      </c>
      <c r="H248" t="s">
        <v>872</v>
      </c>
      <c r="I248" t="s">
        <v>431</v>
      </c>
      <c r="J248" t="s">
        <v>873</v>
      </c>
      <c r="L248" s="2">
        <v>0</v>
      </c>
      <c r="M248" s="2">
        <v>3</v>
      </c>
      <c r="N248" t="s">
        <v>388</v>
      </c>
      <c r="O248" t="s">
        <v>380</v>
      </c>
      <c r="P248" t="s">
        <v>428</v>
      </c>
      <c r="Q248">
        <v>700</v>
      </c>
      <c r="R248" t="s">
        <v>205</v>
      </c>
      <c r="S248" s="2" t="s">
        <v>427</v>
      </c>
    </row>
    <row r="249" spans="1:19" x14ac:dyDescent="0.25">
      <c r="A249">
        <v>19902</v>
      </c>
      <c r="B249" t="s">
        <v>212</v>
      </c>
      <c r="C249" t="s">
        <v>1172</v>
      </c>
      <c r="D249" t="s">
        <v>7</v>
      </c>
      <c r="E249" t="s">
        <v>10</v>
      </c>
      <c r="F249" t="s">
        <v>590</v>
      </c>
      <c r="G249" t="s">
        <v>882</v>
      </c>
      <c r="H249" t="s">
        <v>883</v>
      </c>
      <c r="I249" t="s">
        <v>431</v>
      </c>
      <c r="J249" t="s">
        <v>884</v>
      </c>
      <c r="L249" s="7" t="s">
        <v>567</v>
      </c>
      <c r="M249" s="2">
        <v>5</v>
      </c>
      <c r="N249" t="s">
        <v>388</v>
      </c>
      <c r="O249" t="s">
        <v>380</v>
      </c>
      <c r="P249" t="s">
        <v>428</v>
      </c>
      <c r="Q249">
        <v>706</v>
      </c>
      <c r="R249" t="s">
        <v>213</v>
      </c>
      <c r="S249" s="2" t="s">
        <v>427</v>
      </c>
    </row>
    <row r="250" spans="1:19" x14ac:dyDescent="0.25">
      <c r="A250">
        <v>9369</v>
      </c>
      <c r="B250" t="s">
        <v>565</v>
      </c>
      <c r="C250" t="s">
        <v>1172</v>
      </c>
      <c r="D250" t="s">
        <v>398</v>
      </c>
      <c r="E250" t="s">
        <v>122</v>
      </c>
      <c r="F250" t="s">
        <v>729</v>
      </c>
      <c r="G250" t="s">
        <v>1101</v>
      </c>
      <c r="H250" t="s">
        <v>1102</v>
      </c>
      <c r="I250" t="s">
        <v>472</v>
      </c>
      <c r="J250" t="s">
        <v>1103</v>
      </c>
      <c r="K250" s="9">
        <v>44214</v>
      </c>
      <c r="L250" s="7" t="s">
        <v>567</v>
      </c>
      <c r="M250" s="2">
        <v>0</v>
      </c>
      <c r="O250" t="s">
        <v>566</v>
      </c>
      <c r="S250" s="2" t="s">
        <v>427</v>
      </c>
    </row>
    <row r="251" spans="1:19" x14ac:dyDescent="0.25">
      <c r="A251">
        <v>15400</v>
      </c>
      <c r="B251" t="s">
        <v>173</v>
      </c>
      <c r="C251" t="s">
        <v>1172</v>
      </c>
      <c r="D251" t="s">
        <v>1154</v>
      </c>
      <c r="E251" t="s">
        <v>165</v>
      </c>
      <c r="F251" t="s">
        <v>607</v>
      </c>
      <c r="G251" t="s">
        <v>608</v>
      </c>
      <c r="H251" t="s">
        <v>609</v>
      </c>
      <c r="I251" t="s">
        <v>435</v>
      </c>
      <c r="J251" t="s">
        <v>610</v>
      </c>
      <c r="L251" s="2">
        <v>0</v>
      </c>
      <c r="M251" s="2">
        <v>4</v>
      </c>
      <c r="N251" t="s">
        <v>388</v>
      </c>
      <c r="O251" t="s">
        <v>380</v>
      </c>
      <c r="P251" t="s">
        <v>428</v>
      </c>
      <c r="Q251">
        <v>823</v>
      </c>
      <c r="R251" t="s">
        <v>173</v>
      </c>
      <c r="S251" s="2" t="s">
        <v>427</v>
      </c>
    </row>
    <row r="252" spans="1:19" x14ac:dyDescent="0.25">
      <c r="A252">
        <v>20060</v>
      </c>
      <c r="B252" t="s">
        <v>214</v>
      </c>
      <c r="C252" t="s">
        <v>1172</v>
      </c>
      <c r="D252" t="s">
        <v>1115</v>
      </c>
      <c r="E252" t="s">
        <v>165</v>
      </c>
      <c r="F252" t="s">
        <v>1057</v>
      </c>
      <c r="G252" t="s">
        <v>1058</v>
      </c>
      <c r="H252" t="s">
        <v>1059</v>
      </c>
      <c r="I252" t="s">
        <v>546</v>
      </c>
      <c r="J252" t="s">
        <v>1060</v>
      </c>
      <c r="L252" s="2">
        <v>0</v>
      </c>
      <c r="M252" s="2">
        <v>7</v>
      </c>
      <c r="N252" t="s">
        <v>389</v>
      </c>
      <c r="O252" t="s">
        <v>380</v>
      </c>
      <c r="P252" t="s">
        <v>428</v>
      </c>
      <c r="Q252">
        <v>716</v>
      </c>
      <c r="R252" t="s">
        <v>215</v>
      </c>
      <c r="S252" s="2" t="s">
        <v>427</v>
      </c>
    </row>
    <row r="253" spans="1:19" x14ac:dyDescent="0.25">
      <c r="A253">
        <v>45017</v>
      </c>
      <c r="B253" t="s">
        <v>254</v>
      </c>
      <c r="C253" t="s">
        <v>1323</v>
      </c>
      <c r="D253" t="s">
        <v>399</v>
      </c>
      <c r="E253" t="s">
        <v>165</v>
      </c>
      <c r="F253" t="s">
        <v>638</v>
      </c>
      <c r="G253" t="s">
        <v>642</v>
      </c>
      <c r="H253" t="s">
        <v>643</v>
      </c>
      <c r="I253" t="s">
        <v>444</v>
      </c>
      <c r="J253" t="s">
        <v>644</v>
      </c>
      <c r="L253" s="2">
        <v>0</v>
      </c>
      <c r="M253" s="2">
        <v>4</v>
      </c>
      <c r="N253" t="s">
        <v>388</v>
      </c>
      <c r="O253" t="s">
        <v>380</v>
      </c>
      <c r="P253" t="s">
        <v>428</v>
      </c>
      <c r="Q253">
        <v>754</v>
      </c>
      <c r="R253" t="s">
        <v>255</v>
      </c>
      <c r="S253" s="2" t="s">
        <v>427</v>
      </c>
    </row>
    <row r="254" spans="1:19" x14ac:dyDescent="0.25">
      <c r="A254">
        <v>17513</v>
      </c>
      <c r="B254" t="s">
        <v>178</v>
      </c>
      <c r="C254" t="s">
        <v>1337</v>
      </c>
      <c r="D254" t="s">
        <v>1318</v>
      </c>
      <c r="E254" t="s">
        <v>165</v>
      </c>
      <c r="F254" t="s">
        <v>598</v>
      </c>
      <c r="G254" t="s">
        <v>1385</v>
      </c>
      <c r="H254" t="s">
        <v>637</v>
      </c>
      <c r="I254" t="s">
        <v>443</v>
      </c>
      <c r="J254">
        <v>0</v>
      </c>
      <c r="K254" s="9">
        <v>44319</v>
      </c>
      <c r="L254" s="7">
        <v>44319</v>
      </c>
      <c r="M254" s="2">
        <v>3</v>
      </c>
      <c r="N254" t="s">
        <v>388</v>
      </c>
      <c r="O254" t="s">
        <v>380</v>
      </c>
      <c r="P254" t="s">
        <v>428</v>
      </c>
      <c r="Q254">
        <v>847</v>
      </c>
      <c r="R254" t="s">
        <v>178</v>
      </c>
      <c r="S254" s="2" t="s">
        <v>427</v>
      </c>
    </row>
    <row r="255" spans="1:19" x14ac:dyDescent="0.25">
      <c r="K255"/>
      <c r="L255"/>
      <c r="M255"/>
      <c r="S255"/>
    </row>
    <row r="256" spans="1:19" x14ac:dyDescent="0.25">
      <c r="K256"/>
      <c r="L256"/>
      <c r="M256"/>
      <c r="S256"/>
    </row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</sheetData>
  <autoFilter ref="A1:T494" xr:uid="{00000000-0001-0000-0200-000000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 filterMode="1"/>
  <dimension ref="A1:V314"/>
  <sheetViews>
    <sheetView showGridLines="0" tabSelected="1" workbookViewId="0">
      <selection activeCell="A308" sqref="A308"/>
    </sheetView>
  </sheetViews>
  <sheetFormatPr defaultRowHeight="15" x14ac:dyDescent="0.25"/>
  <cols>
    <col min="1" max="1" width="8" style="3" bestFit="1" customWidth="1"/>
    <col min="2" max="2" width="47.28515625" style="3" bestFit="1" customWidth="1"/>
    <col min="3" max="3" width="46.5703125" customWidth="1"/>
    <col min="4" max="4" width="41" customWidth="1"/>
    <col min="5" max="5" width="31.7109375" customWidth="1"/>
    <col min="6" max="6" width="5.7109375" customWidth="1"/>
    <col min="7" max="7" width="53.7109375" customWidth="1"/>
    <col min="8" max="8" width="32.28515625" customWidth="1"/>
    <col min="9" max="9" width="29.42578125" customWidth="1"/>
    <col min="10" max="10" width="9.7109375" customWidth="1"/>
    <col min="11" max="11" width="14.42578125" style="9" customWidth="1"/>
    <col min="12" max="12" width="23.28515625" style="7" customWidth="1"/>
    <col min="13" max="13" width="7.85546875" style="2" bestFit="1" customWidth="1"/>
    <col min="14" max="14" width="16.42578125" customWidth="1"/>
    <col min="15" max="17" width="10.5703125" customWidth="1"/>
    <col min="18" max="18" width="11.5703125" customWidth="1"/>
    <col min="19" max="19" width="7.42578125" customWidth="1"/>
    <col min="20" max="20" width="41.28515625" customWidth="1"/>
    <col min="21" max="21" width="11" style="2" bestFit="1" customWidth="1"/>
    <col min="22" max="22" width="10" hidden="1" customWidth="1"/>
  </cols>
  <sheetData>
    <row r="1" spans="1:22" x14ac:dyDescent="0.25">
      <c r="A1" s="24" t="s">
        <v>576</v>
      </c>
      <c r="B1" s="24" t="s">
        <v>577</v>
      </c>
      <c r="C1" s="10" t="s">
        <v>585</v>
      </c>
      <c r="D1" s="10" t="s">
        <v>578</v>
      </c>
      <c r="E1" s="10" t="s">
        <v>579</v>
      </c>
      <c r="F1" s="10" t="s">
        <v>586</v>
      </c>
      <c r="G1" s="10" t="s">
        <v>587</v>
      </c>
      <c r="H1" s="10" t="s">
        <v>588</v>
      </c>
      <c r="I1" s="10" t="s">
        <v>582</v>
      </c>
      <c r="J1" s="10" t="s">
        <v>589</v>
      </c>
      <c r="K1" s="11" t="s">
        <v>1837</v>
      </c>
      <c r="L1" s="13" t="s">
        <v>383</v>
      </c>
      <c r="M1" s="12" t="s">
        <v>372</v>
      </c>
      <c r="N1" s="14" t="s">
        <v>581</v>
      </c>
      <c r="O1" s="10" t="s">
        <v>580</v>
      </c>
      <c r="P1" s="10" t="s">
        <v>1820</v>
      </c>
      <c r="Q1" s="10" t="s">
        <v>1823</v>
      </c>
      <c r="R1" s="10" t="s">
        <v>429</v>
      </c>
      <c r="S1" s="10" t="s">
        <v>583</v>
      </c>
      <c r="T1" s="10" t="s">
        <v>584</v>
      </c>
      <c r="U1" s="12" t="s">
        <v>360</v>
      </c>
      <c r="V1" s="10" t="s">
        <v>1431</v>
      </c>
    </row>
    <row r="2" spans="1:22" ht="15" hidden="1" customHeight="1" x14ac:dyDescent="0.25">
      <c r="A2" s="3">
        <v>15002</v>
      </c>
      <c r="B2" s="3" t="s">
        <v>170</v>
      </c>
      <c r="D2" t="s">
        <v>1309</v>
      </c>
      <c r="E2" t="s">
        <v>165</v>
      </c>
      <c r="F2" t="s">
        <v>607</v>
      </c>
      <c r="G2" t="s">
        <v>745</v>
      </c>
      <c r="H2" t="s">
        <v>609</v>
      </c>
      <c r="I2" t="s">
        <v>474</v>
      </c>
      <c r="J2" t="s">
        <v>746</v>
      </c>
      <c r="L2" s="2">
        <v>0</v>
      </c>
      <c r="M2" s="2">
        <v>8</v>
      </c>
      <c r="N2" t="s">
        <v>388</v>
      </c>
      <c r="O2" t="s">
        <v>1822</v>
      </c>
      <c r="R2" t="s">
        <v>428</v>
      </c>
      <c r="S2">
        <v>274</v>
      </c>
      <c r="T2" t="s">
        <v>171</v>
      </c>
      <c r="U2" s="2" t="s">
        <v>3</v>
      </c>
    </row>
    <row r="3" spans="1:22" ht="15" hidden="1" customHeight="1" x14ac:dyDescent="0.25">
      <c r="A3" s="3">
        <v>17207</v>
      </c>
      <c r="B3" s="3" t="s">
        <v>1437</v>
      </c>
      <c r="D3" t="s">
        <v>1309</v>
      </c>
      <c r="E3" t="s">
        <v>165</v>
      </c>
      <c r="F3" t="s">
        <v>607</v>
      </c>
      <c r="G3" t="s">
        <v>747</v>
      </c>
      <c r="H3" t="s">
        <v>748</v>
      </c>
      <c r="I3" t="s">
        <v>474</v>
      </c>
      <c r="J3" t="s">
        <v>749</v>
      </c>
      <c r="L3" s="2">
        <v>0</v>
      </c>
      <c r="M3" s="2">
        <v>4</v>
      </c>
      <c r="N3" t="s">
        <v>388</v>
      </c>
      <c r="O3" t="s">
        <v>1822</v>
      </c>
      <c r="R3" t="s">
        <v>428</v>
      </c>
      <c r="S3">
        <v>740</v>
      </c>
      <c r="T3" t="s">
        <v>175</v>
      </c>
      <c r="U3" s="2" t="s">
        <v>3</v>
      </c>
    </row>
    <row r="4" spans="1:22" ht="15" hidden="1" customHeight="1" x14ac:dyDescent="0.25">
      <c r="A4" s="3">
        <v>15361</v>
      </c>
      <c r="B4" s="3" t="s">
        <v>172</v>
      </c>
      <c r="D4" t="s">
        <v>1309</v>
      </c>
      <c r="E4" t="s">
        <v>165</v>
      </c>
      <c r="F4" t="s">
        <v>607</v>
      </c>
      <c r="G4" t="s">
        <v>1378</v>
      </c>
      <c r="H4" t="s">
        <v>611</v>
      </c>
      <c r="I4" t="s">
        <v>435</v>
      </c>
      <c r="J4" t="s">
        <v>612</v>
      </c>
      <c r="L4" s="2">
        <v>0</v>
      </c>
      <c r="M4" s="2">
        <v>4</v>
      </c>
      <c r="N4" t="s">
        <v>388</v>
      </c>
      <c r="O4" t="s">
        <v>1822</v>
      </c>
      <c r="R4" t="s">
        <v>428</v>
      </c>
      <c r="S4">
        <v>749</v>
      </c>
      <c r="T4" t="s">
        <v>172</v>
      </c>
      <c r="U4" s="2" t="s">
        <v>3</v>
      </c>
    </row>
    <row r="5" spans="1:22" ht="15" hidden="1" customHeight="1" x14ac:dyDescent="0.25">
      <c r="A5" s="3">
        <v>12200</v>
      </c>
      <c r="B5" s="3" t="s">
        <v>162</v>
      </c>
      <c r="D5" t="s">
        <v>1309</v>
      </c>
      <c r="E5" t="s">
        <v>165</v>
      </c>
      <c r="F5" t="s">
        <v>668</v>
      </c>
      <c r="G5" t="s">
        <v>669</v>
      </c>
      <c r="H5" t="s">
        <v>592</v>
      </c>
      <c r="I5" t="s">
        <v>452</v>
      </c>
      <c r="J5" t="s">
        <v>670</v>
      </c>
      <c r="L5" s="2">
        <v>0</v>
      </c>
      <c r="M5" s="2">
        <v>6</v>
      </c>
      <c r="N5" t="s">
        <v>388</v>
      </c>
      <c r="O5" t="s">
        <v>1822</v>
      </c>
      <c r="R5" t="s">
        <v>432</v>
      </c>
      <c r="S5">
        <v>305</v>
      </c>
      <c r="T5" t="s">
        <v>163</v>
      </c>
      <c r="U5" s="2" t="s">
        <v>3</v>
      </c>
      <c r="V5" t="s">
        <v>3</v>
      </c>
    </row>
    <row r="6" spans="1:22" ht="15" hidden="1" customHeight="1" x14ac:dyDescent="0.25">
      <c r="A6" s="3">
        <v>19201</v>
      </c>
      <c r="B6" s="3" t="s">
        <v>186</v>
      </c>
      <c r="D6" t="s">
        <v>1309</v>
      </c>
      <c r="E6" t="s">
        <v>165</v>
      </c>
      <c r="F6" t="s">
        <v>709</v>
      </c>
      <c r="G6" t="s">
        <v>710</v>
      </c>
      <c r="H6" t="s">
        <v>711</v>
      </c>
      <c r="I6" t="s">
        <v>465</v>
      </c>
      <c r="J6" t="s">
        <v>712</v>
      </c>
      <c r="L6" s="2">
        <v>0</v>
      </c>
      <c r="M6" s="2">
        <v>4</v>
      </c>
      <c r="N6" t="s">
        <v>389</v>
      </c>
      <c r="O6" t="s">
        <v>1822</v>
      </c>
      <c r="R6" t="s">
        <v>432</v>
      </c>
      <c r="S6">
        <v>715</v>
      </c>
      <c r="T6" t="s">
        <v>187</v>
      </c>
      <c r="U6" s="2" t="s">
        <v>3</v>
      </c>
      <c r="V6" t="s">
        <v>3</v>
      </c>
    </row>
    <row r="7" spans="1:22" ht="15" hidden="1" customHeight="1" x14ac:dyDescent="0.25">
      <c r="A7" s="3">
        <v>24009</v>
      </c>
      <c r="B7" s="3" t="s">
        <v>228</v>
      </c>
      <c r="D7" t="s">
        <v>1309</v>
      </c>
      <c r="E7" t="s">
        <v>165</v>
      </c>
      <c r="F7" t="s">
        <v>850</v>
      </c>
      <c r="G7" t="s">
        <v>851</v>
      </c>
      <c r="H7" t="s">
        <v>852</v>
      </c>
      <c r="I7" t="s">
        <v>505</v>
      </c>
      <c r="J7" t="s">
        <v>853</v>
      </c>
      <c r="L7" s="2">
        <v>0</v>
      </c>
      <c r="M7" s="2">
        <v>3</v>
      </c>
      <c r="N7" t="s">
        <v>389</v>
      </c>
      <c r="O7" t="s">
        <v>1822</v>
      </c>
      <c r="R7" t="s">
        <v>432</v>
      </c>
      <c r="S7">
        <v>775</v>
      </c>
      <c r="T7" t="s">
        <v>228</v>
      </c>
      <c r="U7" s="2" t="s">
        <v>3</v>
      </c>
    </row>
    <row r="8" spans="1:22" ht="15" hidden="1" customHeight="1" x14ac:dyDescent="0.25">
      <c r="A8" s="3">
        <v>1498</v>
      </c>
      <c r="B8" t="s">
        <v>1127</v>
      </c>
      <c r="D8" t="s">
        <v>1305</v>
      </c>
      <c r="E8" t="s">
        <v>1123</v>
      </c>
      <c r="F8" t="s">
        <v>590</v>
      </c>
      <c r="G8" t="s">
        <v>886</v>
      </c>
      <c r="H8" t="s">
        <v>592</v>
      </c>
      <c r="I8" t="s">
        <v>431</v>
      </c>
      <c r="J8" t="s">
        <v>876</v>
      </c>
      <c r="L8" s="7" t="s">
        <v>413</v>
      </c>
      <c r="M8" s="2" t="s">
        <v>413</v>
      </c>
      <c r="N8" t="s">
        <v>388</v>
      </c>
      <c r="O8" t="s">
        <v>1822</v>
      </c>
      <c r="R8" t="s">
        <v>432</v>
      </c>
      <c r="S8">
        <v>211</v>
      </c>
      <c r="T8" t="s">
        <v>1390</v>
      </c>
      <c r="U8" s="2" t="s">
        <v>3</v>
      </c>
    </row>
    <row r="9" spans="1:22" ht="15" hidden="1" customHeight="1" x14ac:dyDescent="0.25">
      <c r="A9" s="3">
        <v>1493</v>
      </c>
      <c r="B9" t="s">
        <v>1128</v>
      </c>
      <c r="D9" t="s">
        <v>1305</v>
      </c>
      <c r="E9" t="s">
        <v>1123</v>
      </c>
      <c r="F9" t="s">
        <v>590</v>
      </c>
      <c r="G9" t="s">
        <v>887</v>
      </c>
      <c r="H9" t="s">
        <v>592</v>
      </c>
      <c r="I9" t="s">
        <v>431</v>
      </c>
      <c r="J9" t="s">
        <v>881</v>
      </c>
      <c r="L9" s="7" t="s">
        <v>413</v>
      </c>
      <c r="M9" s="2" t="s">
        <v>413</v>
      </c>
      <c r="N9" t="s">
        <v>388</v>
      </c>
      <c r="O9" t="s">
        <v>1822</v>
      </c>
      <c r="R9" t="s">
        <v>432</v>
      </c>
      <c r="S9">
        <v>866</v>
      </c>
      <c r="T9" t="s">
        <v>403</v>
      </c>
      <c r="U9" s="2" t="s">
        <v>3</v>
      </c>
    </row>
    <row r="10" spans="1:22" ht="15" hidden="1" customHeight="1" x14ac:dyDescent="0.25">
      <c r="A10" s="3">
        <v>1492</v>
      </c>
      <c r="B10" t="s">
        <v>1130</v>
      </c>
      <c r="D10" t="s">
        <v>1305</v>
      </c>
      <c r="E10" t="s">
        <v>1123</v>
      </c>
      <c r="F10" t="s">
        <v>590</v>
      </c>
      <c r="G10" t="s">
        <v>886</v>
      </c>
      <c r="H10" t="s">
        <v>592</v>
      </c>
      <c r="I10" t="s">
        <v>431</v>
      </c>
      <c r="J10" t="s">
        <v>876</v>
      </c>
      <c r="L10" s="7" t="s">
        <v>413</v>
      </c>
      <c r="M10" s="2" t="s">
        <v>413</v>
      </c>
      <c r="N10" t="s">
        <v>388</v>
      </c>
      <c r="O10" t="s">
        <v>1822</v>
      </c>
      <c r="R10" t="s">
        <v>432</v>
      </c>
      <c r="S10">
        <v>785</v>
      </c>
      <c r="T10" t="s">
        <v>405</v>
      </c>
      <c r="U10" s="2" t="s">
        <v>3</v>
      </c>
    </row>
    <row r="11" spans="1:22" ht="15" hidden="1" customHeight="1" x14ac:dyDescent="0.25">
      <c r="A11" s="3">
        <v>149800</v>
      </c>
      <c r="B11" t="s">
        <v>1132</v>
      </c>
      <c r="D11" t="s">
        <v>1305</v>
      </c>
      <c r="E11" t="s">
        <v>1123</v>
      </c>
      <c r="F11" t="s">
        <v>590</v>
      </c>
      <c r="G11" t="s">
        <v>889</v>
      </c>
      <c r="H11" t="s">
        <v>592</v>
      </c>
      <c r="I11" t="s">
        <v>431</v>
      </c>
      <c r="J11" t="s">
        <v>881</v>
      </c>
      <c r="L11" s="7" t="s">
        <v>413</v>
      </c>
      <c r="M11" s="2" t="s">
        <v>413</v>
      </c>
      <c r="N11" t="s">
        <v>388</v>
      </c>
      <c r="O11" t="s">
        <v>1822</v>
      </c>
      <c r="R11" t="s">
        <v>432</v>
      </c>
      <c r="S11">
        <v>874</v>
      </c>
      <c r="T11" t="s">
        <v>407</v>
      </c>
      <c r="U11" s="2" t="s">
        <v>3</v>
      </c>
    </row>
    <row r="12" spans="1:22" ht="15" hidden="1" customHeight="1" x14ac:dyDescent="0.25">
      <c r="A12" s="3">
        <v>149500</v>
      </c>
      <c r="B12" t="s">
        <v>1137</v>
      </c>
      <c r="D12" t="s">
        <v>1305</v>
      </c>
      <c r="E12" t="s">
        <v>1123</v>
      </c>
      <c r="F12" t="s">
        <v>590</v>
      </c>
      <c r="G12" t="s">
        <v>1149</v>
      </c>
      <c r="H12" t="s">
        <v>592</v>
      </c>
      <c r="I12" t="s">
        <v>431</v>
      </c>
      <c r="L12" s="7" t="s">
        <v>413</v>
      </c>
      <c r="M12" s="2" t="s">
        <v>413</v>
      </c>
      <c r="N12" t="s">
        <v>388</v>
      </c>
      <c r="O12" t="s">
        <v>1822</v>
      </c>
      <c r="R12" t="s">
        <v>432</v>
      </c>
      <c r="S12">
        <v>806</v>
      </c>
      <c r="T12" t="s">
        <v>422</v>
      </c>
      <c r="U12" s="2" t="s">
        <v>3</v>
      </c>
    </row>
    <row r="13" spans="1:22" ht="15" hidden="1" customHeight="1" x14ac:dyDescent="0.25">
      <c r="A13" s="3">
        <v>149700</v>
      </c>
      <c r="B13" t="s">
        <v>1133</v>
      </c>
      <c r="D13" t="s">
        <v>1305</v>
      </c>
      <c r="E13" t="s">
        <v>1123</v>
      </c>
      <c r="F13" t="s">
        <v>590</v>
      </c>
      <c r="G13" t="s">
        <v>890</v>
      </c>
      <c r="H13" t="s">
        <v>592</v>
      </c>
      <c r="I13" t="s">
        <v>431</v>
      </c>
      <c r="J13" t="s">
        <v>881</v>
      </c>
      <c r="L13" s="7" t="s">
        <v>413</v>
      </c>
      <c r="M13" s="2" t="s">
        <v>413</v>
      </c>
      <c r="N13" t="s">
        <v>388</v>
      </c>
      <c r="O13" t="s">
        <v>1822</v>
      </c>
      <c r="R13" t="s">
        <v>432</v>
      </c>
      <c r="S13">
        <v>872</v>
      </c>
      <c r="T13" t="s">
        <v>408</v>
      </c>
      <c r="U13" s="2" t="s">
        <v>3</v>
      </c>
    </row>
    <row r="14" spans="1:22" ht="15" hidden="1" customHeight="1" x14ac:dyDescent="0.25">
      <c r="A14" s="3">
        <v>1495</v>
      </c>
      <c r="B14" t="s">
        <v>1134</v>
      </c>
      <c r="D14" t="s">
        <v>1305</v>
      </c>
      <c r="E14" t="s">
        <v>1123</v>
      </c>
      <c r="F14" t="s">
        <v>590</v>
      </c>
      <c r="G14" t="s">
        <v>891</v>
      </c>
      <c r="H14" t="s">
        <v>592</v>
      </c>
      <c r="I14" t="s">
        <v>431</v>
      </c>
      <c r="J14" t="s">
        <v>892</v>
      </c>
      <c r="L14" s="7" t="s">
        <v>413</v>
      </c>
      <c r="M14" s="2" t="s">
        <v>413</v>
      </c>
      <c r="N14" t="s">
        <v>388</v>
      </c>
      <c r="O14" t="s">
        <v>1822</v>
      </c>
      <c r="R14" t="s">
        <v>432</v>
      </c>
      <c r="S14">
        <v>867</v>
      </c>
      <c r="T14" t="s">
        <v>409</v>
      </c>
      <c r="U14" s="2" t="s">
        <v>3</v>
      </c>
    </row>
    <row r="15" spans="1:22" ht="15" hidden="1" customHeight="1" x14ac:dyDescent="0.25">
      <c r="A15" s="3">
        <v>149100</v>
      </c>
      <c r="B15" t="s">
        <v>1451</v>
      </c>
      <c r="D15" t="s">
        <v>1305</v>
      </c>
      <c r="E15" t="s">
        <v>1123</v>
      </c>
      <c r="F15" t="s">
        <v>590</v>
      </c>
      <c r="K15"/>
      <c r="L15"/>
      <c r="M15" s="2" t="s">
        <v>413</v>
      </c>
      <c r="S15">
        <v>871</v>
      </c>
      <c r="U15" s="2" t="s">
        <v>3</v>
      </c>
    </row>
    <row r="16" spans="1:22" ht="15" hidden="1" customHeight="1" x14ac:dyDescent="0.25">
      <c r="A16" s="3">
        <v>149300</v>
      </c>
      <c r="B16" t="s">
        <v>1542</v>
      </c>
      <c r="D16" t="s">
        <v>1305</v>
      </c>
      <c r="E16" t="s">
        <v>1123</v>
      </c>
      <c r="F16" t="s">
        <v>590</v>
      </c>
      <c r="K16"/>
      <c r="L16"/>
      <c r="M16" s="2" t="s">
        <v>413</v>
      </c>
      <c r="S16">
        <v>898</v>
      </c>
      <c r="U16" s="2" t="s">
        <v>3</v>
      </c>
    </row>
    <row r="17" spans="1:22" ht="15" hidden="1" customHeight="1" x14ac:dyDescent="0.25">
      <c r="A17" s="3">
        <v>149900</v>
      </c>
      <c r="B17" t="s">
        <v>1544</v>
      </c>
      <c r="D17" t="s">
        <v>1305</v>
      </c>
      <c r="E17" t="s">
        <v>1123</v>
      </c>
      <c r="F17" t="s">
        <v>590</v>
      </c>
      <c r="K17"/>
      <c r="L17"/>
      <c r="M17" s="2" t="s">
        <v>413</v>
      </c>
      <c r="S17">
        <v>899</v>
      </c>
      <c r="U17" s="2" t="s">
        <v>3</v>
      </c>
    </row>
    <row r="18" spans="1:22" ht="15" hidden="1" customHeight="1" x14ac:dyDescent="0.25">
      <c r="A18" s="3">
        <v>159200</v>
      </c>
      <c r="B18" t="s">
        <v>1551</v>
      </c>
      <c r="D18" t="s">
        <v>1305</v>
      </c>
      <c r="E18" t="s">
        <v>1123</v>
      </c>
      <c r="F18" t="s">
        <v>590</v>
      </c>
      <c r="M18" s="2" t="s">
        <v>413</v>
      </c>
      <c r="S18">
        <v>901</v>
      </c>
      <c r="U18" s="2" t="s">
        <v>3</v>
      </c>
    </row>
    <row r="19" spans="1:22" ht="15" hidden="1" customHeight="1" x14ac:dyDescent="0.25">
      <c r="A19" s="3">
        <v>20990</v>
      </c>
      <c r="B19" s="3" t="s">
        <v>222</v>
      </c>
      <c r="D19" t="s">
        <v>1200</v>
      </c>
      <c r="E19" t="s">
        <v>10</v>
      </c>
      <c r="F19" t="s">
        <v>613</v>
      </c>
      <c r="G19" t="s">
        <v>614</v>
      </c>
      <c r="H19" t="s">
        <v>592</v>
      </c>
      <c r="I19" t="s">
        <v>436</v>
      </c>
      <c r="J19" t="s">
        <v>615</v>
      </c>
      <c r="L19" s="2">
        <v>0</v>
      </c>
      <c r="M19" s="2">
        <v>4</v>
      </c>
      <c r="N19" t="s">
        <v>389</v>
      </c>
      <c r="O19" t="s">
        <v>1822</v>
      </c>
      <c r="R19" t="s">
        <v>432</v>
      </c>
      <c r="S19">
        <v>726</v>
      </c>
      <c r="T19" t="s">
        <v>223</v>
      </c>
      <c r="U19" s="2" t="s">
        <v>3</v>
      </c>
    </row>
    <row r="20" spans="1:22" ht="15" hidden="1" customHeight="1" x14ac:dyDescent="0.25">
      <c r="A20" s="3">
        <v>2222</v>
      </c>
      <c r="B20" s="3" t="s">
        <v>82</v>
      </c>
      <c r="D20" t="s">
        <v>368</v>
      </c>
      <c r="E20" t="s">
        <v>10</v>
      </c>
      <c r="F20" t="s">
        <v>613</v>
      </c>
      <c r="G20" t="s">
        <v>622</v>
      </c>
      <c r="H20" t="s">
        <v>592</v>
      </c>
      <c r="I20" t="s">
        <v>438</v>
      </c>
      <c r="J20" t="s">
        <v>623</v>
      </c>
      <c r="L20" s="2">
        <v>0</v>
      </c>
      <c r="M20" s="2">
        <v>3</v>
      </c>
      <c r="N20" t="s">
        <v>389</v>
      </c>
      <c r="O20" t="s">
        <v>1822</v>
      </c>
      <c r="R20" t="s">
        <v>432</v>
      </c>
      <c r="S20">
        <v>777</v>
      </c>
      <c r="T20" t="s">
        <v>82</v>
      </c>
      <c r="U20" s="2" t="s">
        <v>3</v>
      </c>
    </row>
    <row r="21" spans="1:22" ht="15" hidden="1" customHeight="1" x14ac:dyDescent="0.25">
      <c r="A21" s="3">
        <v>2913</v>
      </c>
      <c r="B21" s="3" t="s">
        <v>1432</v>
      </c>
      <c r="D21" t="s">
        <v>368</v>
      </c>
      <c r="E21" t="s">
        <v>10</v>
      </c>
      <c r="F21" t="s">
        <v>613</v>
      </c>
      <c r="G21" t="s">
        <v>695</v>
      </c>
      <c r="H21" t="s">
        <v>592</v>
      </c>
      <c r="I21" t="s">
        <v>460</v>
      </c>
      <c r="J21" t="s">
        <v>696</v>
      </c>
      <c r="K21" s="9">
        <v>44088</v>
      </c>
      <c r="L21" s="7">
        <v>44088</v>
      </c>
      <c r="M21" s="2">
        <v>5</v>
      </c>
      <c r="N21" t="s">
        <v>389</v>
      </c>
      <c r="O21" t="s">
        <v>1822</v>
      </c>
      <c r="R21" t="s">
        <v>432</v>
      </c>
      <c r="S21">
        <v>744</v>
      </c>
      <c r="T21" t="s">
        <v>85</v>
      </c>
      <c r="U21" s="2" t="s">
        <v>3</v>
      </c>
    </row>
    <row r="22" spans="1:22" ht="15" hidden="1" customHeight="1" x14ac:dyDescent="0.25">
      <c r="A22" s="3">
        <v>20987</v>
      </c>
      <c r="B22" s="3" t="s">
        <v>219</v>
      </c>
      <c r="D22" t="s">
        <v>1200</v>
      </c>
      <c r="E22" t="s">
        <v>10</v>
      </c>
      <c r="F22" t="s">
        <v>613</v>
      </c>
      <c r="G22" t="s">
        <v>703</v>
      </c>
      <c r="H22" t="s">
        <v>592</v>
      </c>
      <c r="I22" t="s">
        <v>462</v>
      </c>
      <c r="J22" t="s">
        <v>704</v>
      </c>
      <c r="L22" s="2">
        <v>0</v>
      </c>
      <c r="M22" s="2">
        <v>6</v>
      </c>
      <c r="N22" t="s">
        <v>389</v>
      </c>
      <c r="O22" t="s">
        <v>1822</v>
      </c>
      <c r="R22" t="s">
        <v>432</v>
      </c>
      <c r="S22">
        <v>727</v>
      </c>
      <c r="T22" t="s">
        <v>219</v>
      </c>
      <c r="U22" s="2" t="s">
        <v>3</v>
      </c>
    </row>
    <row r="23" spans="1:22" ht="15" hidden="1" customHeight="1" x14ac:dyDescent="0.25">
      <c r="A23" s="3">
        <v>2802</v>
      </c>
      <c r="B23" s="3" t="s">
        <v>83</v>
      </c>
      <c r="D23" t="s">
        <v>368</v>
      </c>
      <c r="E23" t="s">
        <v>10</v>
      </c>
      <c r="F23" t="s">
        <v>613</v>
      </c>
      <c r="G23" t="s">
        <v>727</v>
      </c>
      <c r="H23" t="s">
        <v>592</v>
      </c>
      <c r="I23" t="s">
        <v>471</v>
      </c>
      <c r="J23" t="s">
        <v>728</v>
      </c>
      <c r="L23" s="2">
        <v>0</v>
      </c>
      <c r="M23" s="2">
        <v>5</v>
      </c>
      <c r="N23" t="s">
        <v>389</v>
      </c>
      <c r="O23" t="s">
        <v>1822</v>
      </c>
      <c r="R23" t="s">
        <v>432</v>
      </c>
      <c r="S23">
        <v>751</v>
      </c>
      <c r="T23" t="s">
        <v>83</v>
      </c>
      <c r="U23" s="2" t="s">
        <v>3</v>
      </c>
    </row>
    <row r="24" spans="1:22" ht="15" hidden="1" customHeight="1" x14ac:dyDescent="0.25">
      <c r="A24" s="3">
        <v>200022</v>
      </c>
      <c r="B24" s="3" t="s">
        <v>322</v>
      </c>
      <c r="D24" t="s">
        <v>368</v>
      </c>
      <c r="E24" t="s">
        <v>10</v>
      </c>
      <c r="F24" t="s">
        <v>613</v>
      </c>
      <c r="G24" t="s">
        <v>1361</v>
      </c>
      <c r="H24" t="s">
        <v>592</v>
      </c>
      <c r="I24" t="s">
        <v>769</v>
      </c>
      <c r="J24" t="s">
        <v>770</v>
      </c>
      <c r="K24" s="9">
        <v>44603</v>
      </c>
      <c r="L24" s="7">
        <v>44603</v>
      </c>
      <c r="M24" s="2">
        <v>4</v>
      </c>
      <c r="N24" t="s">
        <v>388</v>
      </c>
      <c r="O24" t="s">
        <v>1821</v>
      </c>
      <c r="R24" t="s">
        <v>381</v>
      </c>
      <c r="S24">
        <v>890</v>
      </c>
      <c r="T24" t="s">
        <v>323</v>
      </c>
      <c r="U24" s="2" t="s">
        <v>3</v>
      </c>
    </row>
    <row r="25" spans="1:22" ht="15" hidden="1" customHeight="1" x14ac:dyDescent="0.25">
      <c r="A25" s="3">
        <v>20959</v>
      </c>
      <c r="B25" s="3" t="s">
        <v>218</v>
      </c>
      <c r="D25" t="s">
        <v>368</v>
      </c>
      <c r="E25" t="s">
        <v>10</v>
      </c>
      <c r="F25" t="s">
        <v>613</v>
      </c>
      <c r="G25" t="s">
        <v>785</v>
      </c>
      <c r="H25" t="s">
        <v>640</v>
      </c>
      <c r="I25" t="s">
        <v>484</v>
      </c>
      <c r="J25" t="s">
        <v>786</v>
      </c>
      <c r="L25" s="2">
        <v>0</v>
      </c>
      <c r="M25" s="2">
        <v>6</v>
      </c>
      <c r="N25" t="s">
        <v>388</v>
      </c>
      <c r="O25" t="s">
        <v>1822</v>
      </c>
      <c r="R25" t="s">
        <v>432</v>
      </c>
      <c r="S25">
        <v>705</v>
      </c>
      <c r="T25" t="s">
        <v>218</v>
      </c>
      <c r="U25" s="2" t="s">
        <v>3</v>
      </c>
    </row>
    <row r="26" spans="1:22" ht="15" hidden="1" customHeight="1" x14ac:dyDescent="0.25">
      <c r="A26" s="3">
        <v>2921</v>
      </c>
      <c r="B26" s="3" t="s">
        <v>87</v>
      </c>
      <c r="D26" t="s">
        <v>1200</v>
      </c>
      <c r="E26" t="s">
        <v>10</v>
      </c>
      <c r="F26" t="s">
        <v>613</v>
      </c>
      <c r="G26" t="s">
        <v>792</v>
      </c>
      <c r="H26" t="s">
        <v>592</v>
      </c>
      <c r="I26" t="s">
        <v>486</v>
      </c>
      <c r="J26" t="s">
        <v>793</v>
      </c>
      <c r="K26" s="9">
        <v>44109</v>
      </c>
      <c r="L26" s="7">
        <v>44109</v>
      </c>
      <c r="M26" s="2">
        <v>3</v>
      </c>
      <c r="N26" t="s">
        <v>389</v>
      </c>
      <c r="O26" t="s">
        <v>1822</v>
      </c>
      <c r="R26" t="s">
        <v>432</v>
      </c>
      <c r="S26">
        <v>811</v>
      </c>
      <c r="T26" t="s">
        <v>87</v>
      </c>
      <c r="U26" s="2" t="s">
        <v>3</v>
      </c>
    </row>
    <row r="27" spans="1:22" ht="15" hidden="1" customHeight="1" x14ac:dyDescent="0.25">
      <c r="A27" s="3">
        <v>2918</v>
      </c>
      <c r="B27" s="3" t="s">
        <v>86</v>
      </c>
      <c r="D27" t="s">
        <v>368</v>
      </c>
      <c r="E27" t="s">
        <v>10</v>
      </c>
      <c r="F27" t="s">
        <v>613</v>
      </c>
      <c r="G27" t="s">
        <v>848</v>
      </c>
      <c r="H27" t="s">
        <v>592</v>
      </c>
      <c r="I27" t="s">
        <v>504</v>
      </c>
      <c r="J27" t="s">
        <v>849</v>
      </c>
      <c r="K27" s="9">
        <v>44109</v>
      </c>
      <c r="L27" s="7">
        <v>44109</v>
      </c>
      <c r="M27" s="2">
        <v>5</v>
      </c>
      <c r="N27" t="s">
        <v>389</v>
      </c>
      <c r="O27" t="s">
        <v>1822</v>
      </c>
      <c r="R27" t="s">
        <v>432</v>
      </c>
      <c r="S27">
        <v>810</v>
      </c>
      <c r="T27" t="s">
        <v>86</v>
      </c>
      <c r="U27" s="2" t="s">
        <v>3</v>
      </c>
      <c r="V27" t="s">
        <v>3</v>
      </c>
    </row>
    <row r="28" spans="1:22" ht="15.75" hidden="1" customHeight="1" x14ac:dyDescent="0.25">
      <c r="A28" s="3">
        <v>2945</v>
      </c>
      <c r="B28" s="3" t="s">
        <v>88</v>
      </c>
      <c r="D28" t="s">
        <v>368</v>
      </c>
      <c r="E28" t="s">
        <v>10</v>
      </c>
      <c r="F28" t="s">
        <v>613</v>
      </c>
      <c r="G28" t="s">
        <v>991</v>
      </c>
      <c r="H28" t="s">
        <v>450</v>
      </c>
      <c r="I28" t="s">
        <v>529</v>
      </c>
      <c r="J28" t="s">
        <v>992</v>
      </c>
      <c r="L28" s="2">
        <v>0</v>
      </c>
      <c r="M28" s="2">
        <v>3</v>
      </c>
      <c r="N28" t="s">
        <v>389</v>
      </c>
      <c r="O28" t="s">
        <v>1822</v>
      </c>
      <c r="R28" t="s">
        <v>432</v>
      </c>
      <c r="S28">
        <v>849</v>
      </c>
      <c r="T28" t="s">
        <v>88</v>
      </c>
      <c r="U28" s="2" t="s">
        <v>3</v>
      </c>
    </row>
    <row r="29" spans="1:22" ht="15" hidden="1" customHeight="1" x14ac:dyDescent="0.25">
      <c r="A29" s="3">
        <v>20989</v>
      </c>
      <c r="B29" s="3" t="s">
        <v>220</v>
      </c>
      <c r="D29" t="s">
        <v>1200</v>
      </c>
      <c r="E29" t="s">
        <v>10</v>
      </c>
      <c r="F29" t="s">
        <v>613</v>
      </c>
      <c r="G29" t="s">
        <v>1077</v>
      </c>
      <c r="H29" t="s">
        <v>592</v>
      </c>
      <c r="I29" t="s">
        <v>548</v>
      </c>
      <c r="J29" t="s">
        <v>1078</v>
      </c>
      <c r="L29" s="2">
        <v>0</v>
      </c>
      <c r="M29" s="2">
        <v>5</v>
      </c>
      <c r="N29" t="s">
        <v>389</v>
      </c>
      <c r="O29" t="s">
        <v>1822</v>
      </c>
      <c r="R29" t="s">
        <v>432</v>
      </c>
      <c r="S29">
        <v>728</v>
      </c>
      <c r="T29" t="s">
        <v>221</v>
      </c>
      <c r="U29" s="2" t="s">
        <v>3</v>
      </c>
    </row>
    <row r="30" spans="1:22" ht="15" hidden="1" customHeight="1" x14ac:dyDescent="0.25">
      <c r="A30" s="3">
        <v>50809</v>
      </c>
      <c r="B30" s="3" t="s">
        <v>273</v>
      </c>
      <c r="D30" t="s">
        <v>1279</v>
      </c>
      <c r="E30" t="s">
        <v>6</v>
      </c>
      <c r="F30" t="s">
        <v>616</v>
      </c>
      <c r="G30" t="s">
        <v>617</v>
      </c>
      <c r="H30" t="s">
        <v>592</v>
      </c>
      <c r="I30" t="s">
        <v>437</v>
      </c>
      <c r="J30" t="s">
        <v>618</v>
      </c>
      <c r="L30" s="2">
        <v>0</v>
      </c>
      <c r="M30" s="2">
        <v>5</v>
      </c>
      <c r="N30" t="s">
        <v>389</v>
      </c>
      <c r="O30" t="s">
        <v>1822</v>
      </c>
      <c r="R30" t="s">
        <v>432</v>
      </c>
      <c r="S30">
        <v>308</v>
      </c>
      <c r="T30" t="s">
        <v>273</v>
      </c>
      <c r="U30" s="2" t="s">
        <v>3</v>
      </c>
    </row>
    <row r="31" spans="1:22" ht="15" hidden="1" customHeight="1" x14ac:dyDescent="0.25">
      <c r="A31" s="3">
        <v>53556</v>
      </c>
      <c r="B31" s="3" t="s">
        <v>279</v>
      </c>
      <c r="D31" t="s">
        <v>1279</v>
      </c>
      <c r="E31" t="s">
        <v>6</v>
      </c>
      <c r="F31" t="s">
        <v>616</v>
      </c>
      <c r="G31" t="s">
        <v>627</v>
      </c>
      <c r="H31" t="s">
        <v>592</v>
      </c>
      <c r="I31" t="s">
        <v>441</v>
      </c>
      <c r="J31" t="s">
        <v>628</v>
      </c>
      <c r="L31" s="2">
        <v>0</v>
      </c>
      <c r="M31" s="2">
        <v>6</v>
      </c>
      <c r="N31" t="s">
        <v>388</v>
      </c>
      <c r="O31" t="s">
        <v>1822</v>
      </c>
      <c r="R31" t="s">
        <v>432</v>
      </c>
      <c r="S31">
        <v>197</v>
      </c>
      <c r="T31" t="s">
        <v>279</v>
      </c>
      <c r="U31" s="2" t="s">
        <v>3</v>
      </c>
    </row>
    <row r="32" spans="1:22" ht="15" hidden="1" customHeight="1" x14ac:dyDescent="0.25">
      <c r="A32" s="3">
        <v>54464</v>
      </c>
      <c r="B32" s="3" t="s">
        <v>281</v>
      </c>
      <c r="D32" t="s">
        <v>1279</v>
      </c>
      <c r="E32" t="s">
        <v>6</v>
      </c>
      <c r="F32" t="s">
        <v>616</v>
      </c>
      <c r="G32" t="s">
        <v>775</v>
      </c>
      <c r="H32" t="s">
        <v>592</v>
      </c>
      <c r="I32" t="s">
        <v>482</v>
      </c>
      <c r="J32" t="s">
        <v>776</v>
      </c>
      <c r="K32" s="9">
        <v>44221</v>
      </c>
      <c r="L32" s="7">
        <v>44221</v>
      </c>
      <c r="M32" s="2">
        <v>4</v>
      </c>
      <c r="N32" t="s">
        <v>388</v>
      </c>
      <c r="O32" t="s">
        <v>1822</v>
      </c>
      <c r="R32" t="s">
        <v>432</v>
      </c>
      <c r="S32">
        <v>829</v>
      </c>
      <c r="T32" t="s">
        <v>281</v>
      </c>
      <c r="U32" s="2" t="s">
        <v>3</v>
      </c>
    </row>
    <row r="33" spans="1:22" ht="15" hidden="1" customHeight="1" x14ac:dyDescent="0.25">
      <c r="A33" s="3">
        <v>54466</v>
      </c>
      <c r="B33" s="3" t="s">
        <v>283</v>
      </c>
      <c r="D33" t="s">
        <v>1279</v>
      </c>
      <c r="E33" t="s">
        <v>6</v>
      </c>
      <c r="F33" t="s">
        <v>616</v>
      </c>
      <c r="G33" t="s">
        <v>811</v>
      </c>
      <c r="H33" t="s">
        <v>592</v>
      </c>
      <c r="I33" t="s">
        <v>494</v>
      </c>
      <c r="J33" t="s">
        <v>812</v>
      </c>
      <c r="K33" s="9">
        <v>44214</v>
      </c>
      <c r="L33" s="7">
        <v>44214</v>
      </c>
      <c r="M33" s="2">
        <v>5</v>
      </c>
      <c r="N33" t="s">
        <v>388</v>
      </c>
      <c r="O33" t="s">
        <v>1822</v>
      </c>
      <c r="R33" t="s">
        <v>432</v>
      </c>
      <c r="S33">
        <v>831</v>
      </c>
      <c r="T33" t="s">
        <v>283</v>
      </c>
      <c r="U33" s="2" t="s">
        <v>3</v>
      </c>
    </row>
    <row r="34" spans="1:22" ht="15" hidden="1" customHeight="1" x14ac:dyDescent="0.25">
      <c r="A34" s="3">
        <v>54471</v>
      </c>
      <c r="B34" s="3" t="s">
        <v>287</v>
      </c>
      <c r="D34" t="s">
        <v>1279</v>
      </c>
      <c r="E34" t="s">
        <v>6</v>
      </c>
      <c r="F34" t="s">
        <v>616</v>
      </c>
      <c r="G34" t="s">
        <v>1369</v>
      </c>
      <c r="H34" t="s">
        <v>592</v>
      </c>
      <c r="I34" t="s">
        <v>502</v>
      </c>
      <c r="J34" t="s">
        <v>844</v>
      </c>
      <c r="K34" s="9">
        <v>44242</v>
      </c>
      <c r="L34" s="7">
        <v>44242</v>
      </c>
      <c r="M34" s="2">
        <v>4</v>
      </c>
      <c r="N34" t="s">
        <v>388</v>
      </c>
      <c r="O34" t="s">
        <v>1822</v>
      </c>
      <c r="R34" t="s">
        <v>432</v>
      </c>
      <c r="S34">
        <v>832</v>
      </c>
      <c r="T34" t="s">
        <v>287</v>
      </c>
      <c r="U34" s="2" t="s">
        <v>3</v>
      </c>
    </row>
    <row r="35" spans="1:22" ht="15" hidden="1" customHeight="1" x14ac:dyDescent="0.25">
      <c r="A35" s="3">
        <v>50499</v>
      </c>
      <c r="B35" s="3" t="s">
        <v>261</v>
      </c>
      <c r="D35" t="s">
        <v>1279</v>
      </c>
      <c r="E35" t="s">
        <v>6</v>
      </c>
      <c r="F35" t="s">
        <v>616</v>
      </c>
      <c r="G35" t="s">
        <v>912</v>
      </c>
      <c r="H35" t="s">
        <v>592</v>
      </c>
      <c r="I35" t="s">
        <v>514</v>
      </c>
      <c r="J35" t="s">
        <v>913</v>
      </c>
      <c r="L35" s="2">
        <v>0</v>
      </c>
      <c r="M35" s="2">
        <v>5</v>
      </c>
      <c r="N35" t="s">
        <v>389</v>
      </c>
      <c r="O35" t="s">
        <v>1822</v>
      </c>
      <c r="R35" t="s">
        <v>432</v>
      </c>
      <c r="S35">
        <v>289</v>
      </c>
      <c r="T35" t="s">
        <v>262</v>
      </c>
      <c r="U35" s="2" t="s">
        <v>3</v>
      </c>
    </row>
    <row r="36" spans="1:22" ht="15" hidden="1" customHeight="1" x14ac:dyDescent="0.25">
      <c r="A36" s="3">
        <v>50590</v>
      </c>
      <c r="B36" s="3" t="s">
        <v>265</v>
      </c>
      <c r="D36" t="s">
        <v>1279</v>
      </c>
      <c r="E36" t="s">
        <v>6</v>
      </c>
      <c r="F36" t="s">
        <v>616</v>
      </c>
      <c r="G36" t="s">
        <v>995</v>
      </c>
      <c r="H36" t="s">
        <v>592</v>
      </c>
      <c r="I36" t="s">
        <v>531</v>
      </c>
      <c r="J36" t="s">
        <v>996</v>
      </c>
      <c r="L36" s="2">
        <v>0</v>
      </c>
      <c r="M36" s="2">
        <v>4</v>
      </c>
      <c r="N36" t="s">
        <v>389</v>
      </c>
      <c r="O36" t="s">
        <v>1822</v>
      </c>
      <c r="R36" t="s">
        <v>432</v>
      </c>
      <c r="S36">
        <v>290</v>
      </c>
      <c r="T36" t="s">
        <v>266</v>
      </c>
      <c r="U36" s="2" t="s">
        <v>3</v>
      </c>
    </row>
    <row r="37" spans="1:22" ht="15" hidden="1" customHeight="1" x14ac:dyDescent="0.25">
      <c r="A37" s="3">
        <v>9366</v>
      </c>
      <c r="B37" s="3" t="s">
        <v>126</v>
      </c>
      <c r="D37" t="s">
        <v>398</v>
      </c>
      <c r="E37" t="s">
        <v>122</v>
      </c>
      <c r="F37" t="s">
        <v>729</v>
      </c>
      <c r="G37" t="s">
        <v>730</v>
      </c>
      <c r="H37" t="s">
        <v>731</v>
      </c>
      <c r="I37" t="s">
        <v>472</v>
      </c>
      <c r="J37" t="s">
        <v>732</v>
      </c>
      <c r="K37" s="9">
        <v>44214</v>
      </c>
      <c r="L37" s="7">
        <v>44214</v>
      </c>
      <c r="M37" s="2">
        <v>3</v>
      </c>
      <c r="N37" t="s">
        <v>388</v>
      </c>
      <c r="O37" t="s">
        <v>1822</v>
      </c>
      <c r="R37" t="s">
        <v>428</v>
      </c>
      <c r="S37">
        <v>827</v>
      </c>
      <c r="T37" t="s">
        <v>127</v>
      </c>
      <c r="U37" s="2" t="s">
        <v>3</v>
      </c>
    </row>
    <row r="38" spans="1:22" ht="15" hidden="1" customHeight="1" x14ac:dyDescent="0.25">
      <c r="A38" s="3">
        <v>90900</v>
      </c>
      <c r="B38" s="3" t="s">
        <v>317</v>
      </c>
      <c r="D38" t="s">
        <v>398</v>
      </c>
      <c r="E38" t="s">
        <v>122</v>
      </c>
      <c r="F38" t="s">
        <v>729</v>
      </c>
      <c r="G38" t="s">
        <v>733</v>
      </c>
      <c r="H38" t="s">
        <v>592</v>
      </c>
      <c r="I38" t="s">
        <v>472</v>
      </c>
      <c r="J38" t="s">
        <v>734</v>
      </c>
      <c r="L38" s="2">
        <v>0</v>
      </c>
      <c r="M38" s="2">
        <v>6</v>
      </c>
      <c r="N38" t="s">
        <v>388</v>
      </c>
      <c r="O38" t="s">
        <v>1822</v>
      </c>
      <c r="R38" t="s">
        <v>428</v>
      </c>
      <c r="S38">
        <v>186</v>
      </c>
      <c r="T38" t="s">
        <v>318</v>
      </c>
      <c r="U38" s="2" t="s">
        <v>3</v>
      </c>
      <c r="V38" t="s">
        <v>3</v>
      </c>
    </row>
    <row r="39" spans="1:22" ht="15" hidden="1" customHeight="1" x14ac:dyDescent="0.25">
      <c r="A39" s="3">
        <v>9370</v>
      </c>
      <c r="B39" s="3" t="s">
        <v>130</v>
      </c>
      <c r="D39" t="s">
        <v>398</v>
      </c>
      <c r="E39" t="s">
        <v>122</v>
      </c>
      <c r="F39" t="s">
        <v>729</v>
      </c>
      <c r="G39" t="s">
        <v>735</v>
      </c>
      <c r="H39" t="s">
        <v>736</v>
      </c>
      <c r="I39" t="s">
        <v>472</v>
      </c>
      <c r="J39" t="s">
        <v>737</v>
      </c>
      <c r="K39" s="9">
        <v>44270</v>
      </c>
      <c r="L39" s="7">
        <v>44270</v>
      </c>
      <c r="M39" s="2">
        <v>3</v>
      </c>
      <c r="N39" t="s">
        <v>388</v>
      </c>
      <c r="O39" t="s">
        <v>1822</v>
      </c>
      <c r="R39" t="s">
        <v>428</v>
      </c>
      <c r="S39">
        <v>839</v>
      </c>
      <c r="T39" t="s">
        <v>130</v>
      </c>
      <c r="U39" s="2" t="s">
        <v>3</v>
      </c>
    </row>
    <row r="40" spans="1:22" ht="15" hidden="1" customHeight="1" x14ac:dyDescent="0.25">
      <c r="A40" s="3">
        <v>9368</v>
      </c>
      <c r="B40" s="3" t="s">
        <v>128</v>
      </c>
      <c r="D40" t="s">
        <v>398</v>
      </c>
      <c r="E40" t="s">
        <v>122</v>
      </c>
      <c r="F40" t="s">
        <v>729</v>
      </c>
      <c r="G40" t="s">
        <v>738</v>
      </c>
      <c r="H40" t="s">
        <v>739</v>
      </c>
      <c r="I40" t="s">
        <v>472</v>
      </c>
      <c r="J40" t="s">
        <v>740</v>
      </c>
      <c r="K40" s="9">
        <v>44230</v>
      </c>
      <c r="L40" s="7">
        <v>44230</v>
      </c>
      <c r="M40" s="2">
        <v>4</v>
      </c>
      <c r="N40" t="s">
        <v>388</v>
      </c>
      <c r="O40" t="s">
        <v>1822</v>
      </c>
      <c r="R40" t="s">
        <v>428</v>
      </c>
      <c r="S40">
        <v>833</v>
      </c>
      <c r="T40" t="s">
        <v>129</v>
      </c>
      <c r="U40" s="2" t="s">
        <v>3</v>
      </c>
    </row>
    <row r="41" spans="1:22" ht="15" hidden="1" customHeight="1" x14ac:dyDescent="0.25">
      <c r="A41" s="3">
        <v>97538</v>
      </c>
      <c r="B41" s="3" t="s">
        <v>1460</v>
      </c>
      <c r="D41" t="s">
        <v>398</v>
      </c>
      <c r="E41" t="s">
        <v>122</v>
      </c>
      <c r="F41" t="s">
        <v>729</v>
      </c>
      <c r="K41"/>
      <c r="L41"/>
      <c r="M41" s="2">
        <v>3</v>
      </c>
      <c r="N41" t="s">
        <v>388</v>
      </c>
      <c r="O41" t="s">
        <v>1822</v>
      </c>
      <c r="S41">
        <v>542</v>
      </c>
      <c r="U41" s="2" t="s">
        <v>3</v>
      </c>
    </row>
    <row r="42" spans="1:22" ht="15" hidden="1" customHeight="1" x14ac:dyDescent="0.25">
      <c r="A42" s="3">
        <v>97616</v>
      </c>
      <c r="B42" s="3" t="s">
        <v>1461</v>
      </c>
      <c r="D42" t="s">
        <v>398</v>
      </c>
      <c r="E42" t="s">
        <v>122</v>
      </c>
      <c r="F42" t="s">
        <v>729</v>
      </c>
      <c r="K42"/>
      <c r="L42"/>
      <c r="M42" s="2">
        <v>3</v>
      </c>
      <c r="N42" t="s">
        <v>388</v>
      </c>
      <c r="O42" t="s">
        <v>1822</v>
      </c>
      <c r="S42">
        <v>543</v>
      </c>
      <c r="U42" s="2" t="s">
        <v>3</v>
      </c>
    </row>
    <row r="43" spans="1:22" ht="15" hidden="1" customHeight="1" x14ac:dyDescent="0.25">
      <c r="A43" s="3">
        <v>97521</v>
      </c>
      <c r="B43" s="3" t="s">
        <v>1464</v>
      </c>
      <c r="D43" t="s">
        <v>398</v>
      </c>
      <c r="E43" t="s">
        <v>122</v>
      </c>
      <c r="F43" t="s">
        <v>729</v>
      </c>
      <c r="K43"/>
      <c r="L43"/>
      <c r="M43" s="2">
        <v>4</v>
      </c>
      <c r="S43">
        <v>541</v>
      </c>
      <c r="U43" s="2" t="s">
        <v>3</v>
      </c>
    </row>
    <row r="44" spans="1:22" ht="15" hidden="1" customHeight="1" x14ac:dyDescent="0.25">
      <c r="A44" s="3">
        <v>97964</v>
      </c>
      <c r="B44" s="3" t="s">
        <v>1473</v>
      </c>
      <c r="D44" t="s">
        <v>398</v>
      </c>
      <c r="E44" t="s">
        <v>122</v>
      </c>
      <c r="F44" t="s">
        <v>729</v>
      </c>
      <c r="G44" t="s">
        <v>1509</v>
      </c>
      <c r="H44" t="s">
        <v>592</v>
      </c>
      <c r="I44" t="s">
        <v>1510</v>
      </c>
      <c r="J44" t="s">
        <v>1511</v>
      </c>
      <c r="K44"/>
      <c r="L44">
        <v>0</v>
      </c>
      <c r="M44" s="2">
        <v>3</v>
      </c>
      <c r="S44">
        <v>933</v>
      </c>
      <c r="T44" t="s">
        <v>1473</v>
      </c>
      <c r="U44" s="2" t="s">
        <v>3</v>
      </c>
    </row>
    <row r="45" spans="1:22" ht="15" hidden="1" customHeight="1" x14ac:dyDescent="0.25">
      <c r="A45" s="3">
        <v>97927</v>
      </c>
      <c r="B45" s="3" t="s">
        <v>1481</v>
      </c>
      <c r="D45" t="s">
        <v>398</v>
      </c>
      <c r="E45" t="s">
        <v>122</v>
      </c>
      <c r="F45" t="s">
        <v>729</v>
      </c>
      <c r="G45" t="s">
        <v>1533</v>
      </c>
      <c r="H45" t="s">
        <v>592</v>
      </c>
      <c r="I45" t="s">
        <v>1534</v>
      </c>
      <c r="J45" t="s">
        <v>1535</v>
      </c>
      <c r="K45"/>
      <c r="L45"/>
      <c r="M45" s="2">
        <v>4</v>
      </c>
      <c r="S45">
        <v>947</v>
      </c>
      <c r="U45" s="2" t="s">
        <v>3</v>
      </c>
    </row>
    <row r="46" spans="1:22" ht="15" hidden="1" customHeight="1" x14ac:dyDescent="0.25">
      <c r="A46" s="3">
        <v>27894</v>
      </c>
      <c r="B46" s="3" t="s">
        <v>1795</v>
      </c>
      <c r="D46" t="s">
        <v>398</v>
      </c>
      <c r="E46" t="s">
        <v>122</v>
      </c>
      <c r="F46" t="s">
        <v>729</v>
      </c>
      <c r="M46" s="2">
        <v>2</v>
      </c>
      <c r="S46">
        <v>406</v>
      </c>
      <c r="U46" s="2" t="s">
        <v>3</v>
      </c>
    </row>
    <row r="47" spans="1:22" ht="15" hidden="1" customHeight="1" x14ac:dyDescent="0.25">
      <c r="A47" s="3">
        <v>96330</v>
      </c>
      <c r="B47" s="3" t="s">
        <v>1138</v>
      </c>
      <c r="D47" t="s">
        <v>1802</v>
      </c>
      <c r="E47" t="s">
        <v>165</v>
      </c>
      <c r="F47" t="s">
        <v>1140</v>
      </c>
      <c r="G47" t="s">
        <v>1379</v>
      </c>
      <c r="H47" t="s">
        <v>1155</v>
      </c>
      <c r="I47" t="s">
        <v>1160</v>
      </c>
      <c r="M47" s="2">
        <v>4</v>
      </c>
      <c r="O47" t="s">
        <v>1822</v>
      </c>
      <c r="R47" t="s">
        <v>428</v>
      </c>
      <c r="S47">
        <v>525</v>
      </c>
      <c r="U47" s="2" t="s">
        <v>3</v>
      </c>
    </row>
    <row r="48" spans="1:22" ht="15" hidden="1" customHeight="1" x14ac:dyDescent="0.25">
      <c r="A48" s="3">
        <v>96329</v>
      </c>
      <c r="B48" s="3" t="s">
        <v>1141</v>
      </c>
      <c r="D48" t="s">
        <v>1802</v>
      </c>
      <c r="E48" t="s">
        <v>165</v>
      </c>
      <c r="F48" t="s">
        <v>1140</v>
      </c>
      <c r="G48" t="s">
        <v>1380</v>
      </c>
      <c r="H48" t="s">
        <v>1156</v>
      </c>
      <c r="I48" t="s">
        <v>1160</v>
      </c>
      <c r="M48" s="2">
        <v>4</v>
      </c>
      <c r="O48" t="s">
        <v>1822</v>
      </c>
      <c r="R48" t="s">
        <v>428</v>
      </c>
      <c r="S48">
        <v>522</v>
      </c>
      <c r="U48" s="2" t="s">
        <v>3</v>
      </c>
    </row>
    <row r="49" spans="1:21" ht="15" hidden="1" customHeight="1" x14ac:dyDescent="0.25">
      <c r="A49" s="3">
        <v>96331</v>
      </c>
      <c r="B49" s="3" t="s">
        <v>1142</v>
      </c>
      <c r="D49" t="s">
        <v>1802</v>
      </c>
      <c r="E49" t="s">
        <v>165</v>
      </c>
      <c r="F49" t="s">
        <v>1140</v>
      </c>
      <c r="G49" t="s">
        <v>1381</v>
      </c>
      <c r="H49" t="s">
        <v>1157</v>
      </c>
      <c r="I49" t="s">
        <v>1160</v>
      </c>
      <c r="M49" s="2">
        <v>4</v>
      </c>
      <c r="O49" t="s">
        <v>1822</v>
      </c>
      <c r="R49" t="s">
        <v>428</v>
      </c>
      <c r="S49">
        <v>516</v>
      </c>
      <c r="U49" s="2" t="s">
        <v>3</v>
      </c>
    </row>
    <row r="50" spans="1:21" ht="15" hidden="1" customHeight="1" x14ac:dyDescent="0.25">
      <c r="A50" s="3">
        <v>96714</v>
      </c>
      <c r="B50" s="3" t="s">
        <v>1143</v>
      </c>
      <c r="D50" t="s">
        <v>1802</v>
      </c>
      <c r="E50" t="s">
        <v>165</v>
      </c>
      <c r="F50" t="s">
        <v>1140</v>
      </c>
      <c r="G50" t="s">
        <v>1382</v>
      </c>
      <c r="H50" t="s">
        <v>1158</v>
      </c>
      <c r="I50" t="s">
        <v>1160</v>
      </c>
      <c r="M50" s="2">
        <v>4</v>
      </c>
      <c r="O50" t="s">
        <v>1822</v>
      </c>
      <c r="R50" t="s">
        <v>428</v>
      </c>
      <c r="S50">
        <v>520</v>
      </c>
      <c r="U50" s="2" t="s">
        <v>3</v>
      </c>
    </row>
    <row r="51" spans="1:21" ht="15" hidden="1" customHeight="1" x14ac:dyDescent="0.25">
      <c r="A51" s="3">
        <v>96328</v>
      </c>
      <c r="B51" s="3" t="s">
        <v>1139</v>
      </c>
      <c r="D51" t="s">
        <v>1802</v>
      </c>
      <c r="E51" t="s">
        <v>165</v>
      </c>
      <c r="F51" t="s">
        <v>1140</v>
      </c>
      <c r="G51" t="s">
        <v>1383</v>
      </c>
      <c r="H51" t="s">
        <v>1159</v>
      </c>
      <c r="I51" t="s">
        <v>1160</v>
      </c>
      <c r="M51" s="2">
        <v>4</v>
      </c>
      <c r="O51" t="s">
        <v>1822</v>
      </c>
      <c r="R51" t="s">
        <v>428</v>
      </c>
      <c r="S51">
        <v>524</v>
      </c>
      <c r="U51" s="2" t="s">
        <v>3</v>
      </c>
    </row>
    <row r="52" spans="1:21" ht="15" hidden="1" customHeight="1" x14ac:dyDescent="0.25">
      <c r="A52" s="3">
        <v>96713</v>
      </c>
      <c r="B52" s="3" t="s">
        <v>1144</v>
      </c>
      <c r="D52" t="s">
        <v>1802</v>
      </c>
      <c r="E52" t="s">
        <v>165</v>
      </c>
      <c r="F52" t="s">
        <v>1140</v>
      </c>
      <c r="G52" t="s">
        <v>1384</v>
      </c>
      <c r="H52" t="s">
        <v>1161</v>
      </c>
      <c r="I52" t="s">
        <v>1160</v>
      </c>
      <c r="M52" s="2">
        <v>5</v>
      </c>
      <c r="O52" t="s">
        <v>1822</v>
      </c>
      <c r="R52" t="s">
        <v>428</v>
      </c>
      <c r="S52">
        <v>519</v>
      </c>
      <c r="U52" s="2" t="s">
        <v>3</v>
      </c>
    </row>
    <row r="53" spans="1:21" ht="15" hidden="1" customHeight="1" x14ac:dyDescent="0.25">
      <c r="A53" s="3">
        <v>10331</v>
      </c>
      <c r="B53" s="3" t="s">
        <v>1433</v>
      </c>
      <c r="D53" t="s">
        <v>366</v>
      </c>
      <c r="E53" t="s">
        <v>10</v>
      </c>
      <c r="F53" t="s">
        <v>590</v>
      </c>
      <c r="G53" t="s">
        <v>720</v>
      </c>
      <c r="H53" t="s">
        <v>592</v>
      </c>
      <c r="I53" t="s">
        <v>468</v>
      </c>
      <c r="J53" t="s">
        <v>721</v>
      </c>
      <c r="K53" s="9">
        <v>44075</v>
      </c>
      <c r="L53" s="7">
        <v>44075</v>
      </c>
      <c r="M53" s="2">
        <v>4</v>
      </c>
      <c r="N53" t="s">
        <v>389</v>
      </c>
      <c r="O53" t="s">
        <v>1822</v>
      </c>
      <c r="R53" t="s">
        <v>432</v>
      </c>
      <c r="S53">
        <v>755</v>
      </c>
      <c r="T53" t="s">
        <v>139</v>
      </c>
      <c r="U53" s="2" t="s">
        <v>3</v>
      </c>
    </row>
    <row r="54" spans="1:21" ht="15" hidden="1" customHeight="1" x14ac:dyDescent="0.25">
      <c r="A54" s="3">
        <v>10332</v>
      </c>
      <c r="B54" s="3" t="s">
        <v>141</v>
      </c>
      <c r="D54" t="s">
        <v>366</v>
      </c>
      <c r="E54" t="s">
        <v>10</v>
      </c>
      <c r="F54" t="s">
        <v>590</v>
      </c>
      <c r="G54" t="s">
        <v>931</v>
      </c>
      <c r="H54" t="s">
        <v>592</v>
      </c>
      <c r="I54" t="s">
        <v>932</v>
      </c>
      <c r="J54" t="s">
        <v>933</v>
      </c>
      <c r="K54" s="9">
        <v>44075</v>
      </c>
      <c r="L54" s="7">
        <v>44075</v>
      </c>
      <c r="M54" s="2">
        <v>3</v>
      </c>
      <c r="N54" t="s">
        <v>389</v>
      </c>
      <c r="O54" t="s">
        <v>1822</v>
      </c>
      <c r="R54" t="s">
        <v>432</v>
      </c>
      <c r="S54">
        <v>756</v>
      </c>
      <c r="T54" t="s">
        <v>141</v>
      </c>
      <c r="U54" s="2" t="s">
        <v>3</v>
      </c>
    </row>
    <row r="55" spans="1:21" hidden="1" x14ac:dyDescent="0.25">
      <c r="A55" s="3">
        <v>19715</v>
      </c>
      <c r="B55" s="3" t="s">
        <v>199</v>
      </c>
      <c r="D55" t="s">
        <v>366</v>
      </c>
      <c r="E55" t="s">
        <v>10</v>
      </c>
      <c r="F55" t="s">
        <v>590</v>
      </c>
      <c r="G55" t="s">
        <v>705</v>
      </c>
      <c r="H55" t="s">
        <v>592</v>
      </c>
      <c r="I55" t="s">
        <v>463</v>
      </c>
      <c r="J55" t="s">
        <v>706</v>
      </c>
      <c r="L55" s="2">
        <v>0</v>
      </c>
      <c r="M55" s="2">
        <v>4</v>
      </c>
      <c r="N55" t="s">
        <v>388</v>
      </c>
      <c r="O55" t="s">
        <v>1822</v>
      </c>
      <c r="R55" t="s">
        <v>432</v>
      </c>
      <c r="S55">
        <v>721</v>
      </c>
      <c r="T55" t="s">
        <v>200</v>
      </c>
      <c r="U55" s="2" t="s">
        <v>3</v>
      </c>
    </row>
    <row r="56" spans="1:21" hidden="1" x14ac:dyDescent="0.25">
      <c r="A56" s="3">
        <v>19777</v>
      </c>
      <c r="B56" s="3" t="s">
        <v>201</v>
      </c>
      <c r="D56" t="s">
        <v>366</v>
      </c>
      <c r="E56" t="s">
        <v>10</v>
      </c>
      <c r="F56" t="s">
        <v>590</v>
      </c>
      <c r="G56" t="s">
        <v>1362</v>
      </c>
      <c r="H56" t="s">
        <v>592</v>
      </c>
      <c r="I56" t="s">
        <v>507</v>
      </c>
      <c r="J56" t="s">
        <v>1394</v>
      </c>
      <c r="L56" s="2">
        <v>0</v>
      </c>
      <c r="M56" s="2">
        <v>3</v>
      </c>
      <c r="N56" t="s">
        <v>388</v>
      </c>
      <c r="O56" t="s">
        <v>1822</v>
      </c>
      <c r="R56" t="s">
        <v>428</v>
      </c>
      <c r="S56">
        <v>297</v>
      </c>
      <c r="T56" t="s">
        <v>201</v>
      </c>
      <c r="U56" s="2" t="s">
        <v>3</v>
      </c>
    </row>
    <row r="57" spans="1:21" hidden="1" x14ac:dyDescent="0.25">
      <c r="A57" s="3">
        <v>10333</v>
      </c>
      <c r="B57" s="3" t="s">
        <v>143</v>
      </c>
      <c r="D57" t="s">
        <v>366</v>
      </c>
      <c r="E57" t="s">
        <v>10</v>
      </c>
      <c r="F57" t="s">
        <v>590</v>
      </c>
      <c r="G57" t="s">
        <v>857</v>
      </c>
      <c r="H57" t="s">
        <v>592</v>
      </c>
      <c r="I57" t="s">
        <v>507</v>
      </c>
      <c r="J57" t="s">
        <v>858</v>
      </c>
      <c r="K57" s="9">
        <v>44082</v>
      </c>
      <c r="L57" s="7">
        <v>44082</v>
      </c>
      <c r="M57" s="2">
        <v>5</v>
      </c>
      <c r="N57" t="s">
        <v>389</v>
      </c>
      <c r="O57" t="s">
        <v>1822</v>
      </c>
      <c r="R57" t="s">
        <v>428</v>
      </c>
      <c r="S57">
        <v>809</v>
      </c>
      <c r="T57" t="s">
        <v>143</v>
      </c>
      <c r="U57" s="2" t="s">
        <v>3</v>
      </c>
    </row>
    <row r="58" spans="1:21" hidden="1" x14ac:dyDescent="0.25">
      <c r="A58" s="3">
        <v>19890</v>
      </c>
      <c r="B58" s="3" t="s">
        <v>208</v>
      </c>
      <c r="D58" t="s">
        <v>366</v>
      </c>
      <c r="E58" t="s">
        <v>10</v>
      </c>
      <c r="F58" t="s">
        <v>590</v>
      </c>
      <c r="G58" t="s">
        <v>1363</v>
      </c>
      <c r="H58" t="s">
        <v>592</v>
      </c>
      <c r="I58" t="s">
        <v>1047</v>
      </c>
      <c r="J58" t="s">
        <v>1048</v>
      </c>
      <c r="L58" s="2">
        <v>0</v>
      </c>
      <c r="M58" s="2">
        <v>4</v>
      </c>
      <c r="N58" t="s">
        <v>388</v>
      </c>
      <c r="O58" t="s">
        <v>1821</v>
      </c>
      <c r="R58" t="s">
        <v>381</v>
      </c>
      <c r="S58">
        <v>709</v>
      </c>
      <c r="T58" t="s">
        <v>209</v>
      </c>
      <c r="U58" s="2" t="s">
        <v>3</v>
      </c>
    </row>
    <row r="59" spans="1:21" hidden="1" x14ac:dyDescent="0.25">
      <c r="A59" s="3">
        <v>1407</v>
      </c>
      <c r="B59" s="3" t="s">
        <v>16</v>
      </c>
      <c r="D59" t="s">
        <v>366</v>
      </c>
      <c r="E59" t="s">
        <v>10</v>
      </c>
      <c r="F59" t="s">
        <v>590</v>
      </c>
      <c r="G59" t="s">
        <v>653</v>
      </c>
      <c r="H59" t="s">
        <v>592</v>
      </c>
      <c r="I59" t="s">
        <v>446</v>
      </c>
      <c r="J59" t="s">
        <v>654</v>
      </c>
      <c r="L59" s="2">
        <v>0</v>
      </c>
      <c r="M59" s="2">
        <v>4</v>
      </c>
      <c r="N59" t="s">
        <v>388</v>
      </c>
      <c r="O59" t="s">
        <v>1822</v>
      </c>
      <c r="R59" t="s">
        <v>432</v>
      </c>
      <c r="S59">
        <v>636</v>
      </c>
      <c r="T59" t="s">
        <v>17</v>
      </c>
      <c r="U59" s="2" t="s">
        <v>3</v>
      </c>
    </row>
    <row r="60" spans="1:21" hidden="1" x14ac:dyDescent="0.25">
      <c r="A60" s="3">
        <v>1449</v>
      </c>
      <c r="B60" s="3" t="s">
        <v>57</v>
      </c>
      <c r="D60" t="s">
        <v>366</v>
      </c>
      <c r="E60" t="s">
        <v>10</v>
      </c>
      <c r="F60" t="s">
        <v>590</v>
      </c>
      <c r="G60" t="s">
        <v>959</v>
      </c>
      <c r="H60" t="s">
        <v>592</v>
      </c>
      <c r="I60" t="s">
        <v>522</v>
      </c>
      <c r="J60" t="s">
        <v>960</v>
      </c>
      <c r="L60" s="2">
        <v>0</v>
      </c>
      <c r="M60" s="2">
        <v>6</v>
      </c>
      <c r="N60" t="s">
        <v>388</v>
      </c>
      <c r="O60" t="s">
        <v>1822</v>
      </c>
      <c r="R60" t="s">
        <v>432</v>
      </c>
      <c r="S60">
        <v>621</v>
      </c>
      <c r="T60" t="s">
        <v>58</v>
      </c>
      <c r="U60" s="2" t="s">
        <v>3</v>
      </c>
    </row>
    <row r="61" spans="1:21" hidden="1" x14ac:dyDescent="0.25">
      <c r="A61" s="3">
        <v>19701</v>
      </c>
      <c r="B61" s="3" t="s">
        <v>188</v>
      </c>
      <c r="D61" t="s">
        <v>366</v>
      </c>
      <c r="E61" t="s">
        <v>10</v>
      </c>
      <c r="F61" t="s">
        <v>590</v>
      </c>
      <c r="G61" t="s">
        <v>794</v>
      </c>
      <c r="H61" t="s">
        <v>592</v>
      </c>
      <c r="I61" t="s">
        <v>487</v>
      </c>
      <c r="J61" t="s">
        <v>795</v>
      </c>
      <c r="L61" s="2">
        <v>0</v>
      </c>
      <c r="M61" s="2">
        <v>4</v>
      </c>
      <c r="N61" t="s">
        <v>388</v>
      </c>
      <c r="O61" t="s">
        <v>1822</v>
      </c>
      <c r="R61" t="s">
        <v>432</v>
      </c>
      <c r="S61">
        <v>712</v>
      </c>
      <c r="T61" t="s">
        <v>189</v>
      </c>
      <c r="U61" s="2" t="s">
        <v>3</v>
      </c>
    </row>
    <row r="62" spans="1:21" hidden="1" x14ac:dyDescent="0.25">
      <c r="A62" s="3">
        <v>19705</v>
      </c>
      <c r="B62" s="3" t="s">
        <v>190</v>
      </c>
      <c r="D62" t="s">
        <v>366</v>
      </c>
      <c r="E62" t="s">
        <v>10</v>
      </c>
      <c r="F62" t="s">
        <v>590</v>
      </c>
      <c r="G62" t="s">
        <v>1086</v>
      </c>
      <c r="H62" t="s">
        <v>592</v>
      </c>
      <c r="I62" t="s">
        <v>551</v>
      </c>
      <c r="J62" t="s">
        <v>1087</v>
      </c>
      <c r="L62" s="2">
        <v>0</v>
      </c>
      <c r="M62" s="2">
        <v>3</v>
      </c>
      <c r="N62" t="s">
        <v>388</v>
      </c>
      <c r="O62" t="s">
        <v>1822</v>
      </c>
      <c r="R62" t="s">
        <v>432</v>
      </c>
      <c r="S62">
        <v>713</v>
      </c>
      <c r="T62" t="s">
        <v>191</v>
      </c>
      <c r="U62" s="2" t="s">
        <v>3</v>
      </c>
    </row>
    <row r="63" spans="1:21" ht="15" hidden="1" customHeight="1" x14ac:dyDescent="0.25">
      <c r="A63" s="3">
        <v>1423</v>
      </c>
      <c r="B63" s="3" t="s">
        <v>36</v>
      </c>
      <c r="D63" t="s">
        <v>1163</v>
      </c>
      <c r="E63" t="s">
        <v>10</v>
      </c>
      <c r="F63" t="s">
        <v>590</v>
      </c>
      <c r="G63" t="s">
        <v>766</v>
      </c>
      <c r="H63" t="s">
        <v>592</v>
      </c>
      <c r="I63" t="s">
        <v>480</v>
      </c>
      <c r="J63" t="s">
        <v>767</v>
      </c>
      <c r="L63" s="2">
        <v>0</v>
      </c>
      <c r="M63" s="2">
        <v>5</v>
      </c>
      <c r="N63" t="s">
        <v>388</v>
      </c>
      <c r="O63" t="s">
        <v>1822</v>
      </c>
      <c r="R63" t="s">
        <v>428</v>
      </c>
      <c r="S63">
        <v>612</v>
      </c>
      <c r="T63" t="s">
        <v>37</v>
      </c>
      <c r="U63" s="2" t="s">
        <v>3</v>
      </c>
    </row>
    <row r="64" spans="1:21" ht="15" hidden="1" customHeight="1" x14ac:dyDescent="0.25">
      <c r="A64" s="3">
        <v>10650</v>
      </c>
      <c r="B64" s="3" t="s">
        <v>1444</v>
      </c>
      <c r="D64" t="s">
        <v>1163</v>
      </c>
      <c r="E64" t="s">
        <v>10</v>
      </c>
      <c r="F64" t="s">
        <v>590</v>
      </c>
      <c r="G64" t="s">
        <v>961</v>
      </c>
      <c r="H64" t="s">
        <v>592</v>
      </c>
      <c r="I64" t="s">
        <v>523</v>
      </c>
      <c r="J64" t="s">
        <v>962</v>
      </c>
      <c r="L64" s="2">
        <v>0</v>
      </c>
      <c r="M64" s="2">
        <v>4</v>
      </c>
      <c r="N64" t="s">
        <v>388</v>
      </c>
      <c r="O64" t="s">
        <v>1822</v>
      </c>
      <c r="R64" t="s">
        <v>432</v>
      </c>
      <c r="S64">
        <v>413</v>
      </c>
      <c r="T64" t="s">
        <v>153</v>
      </c>
      <c r="U64" s="2" t="s">
        <v>3</v>
      </c>
    </row>
    <row r="65" spans="1:21" ht="15" hidden="1" customHeight="1" x14ac:dyDescent="0.25">
      <c r="A65" s="3">
        <v>19709</v>
      </c>
      <c r="B65" s="3" t="s">
        <v>194</v>
      </c>
      <c r="D65" t="s">
        <v>1163</v>
      </c>
      <c r="E65" t="s">
        <v>10</v>
      </c>
      <c r="F65" t="s">
        <v>590</v>
      </c>
      <c r="G65" t="s">
        <v>969</v>
      </c>
      <c r="H65" t="s">
        <v>592</v>
      </c>
      <c r="I65" t="s">
        <v>524</v>
      </c>
      <c r="J65" t="s">
        <v>970</v>
      </c>
      <c r="L65" s="2">
        <v>0</v>
      </c>
      <c r="M65" s="2">
        <v>5</v>
      </c>
      <c r="N65" t="s">
        <v>388</v>
      </c>
      <c r="O65" t="s">
        <v>1822</v>
      </c>
      <c r="R65" t="s">
        <v>432</v>
      </c>
      <c r="S65">
        <v>717</v>
      </c>
      <c r="T65" t="s">
        <v>195</v>
      </c>
      <c r="U65" s="2" t="s">
        <v>3</v>
      </c>
    </row>
    <row r="66" spans="1:21" ht="15" hidden="1" customHeight="1" x14ac:dyDescent="0.25">
      <c r="A66" s="3">
        <v>10201</v>
      </c>
      <c r="B66" s="3" t="s">
        <v>133</v>
      </c>
      <c r="D66" t="s">
        <v>1163</v>
      </c>
      <c r="E66" t="s">
        <v>10</v>
      </c>
      <c r="F66" t="s">
        <v>590</v>
      </c>
      <c r="G66" t="s">
        <v>591</v>
      </c>
      <c r="H66" t="s">
        <v>592</v>
      </c>
      <c r="I66" t="s">
        <v>433</v>
      </c>
      <c r="J66" t="s">
        <v>593</v>
      </c>
      <c r="L66" s="2">
        <v>0</v>
      </c>
      <c r="M66" s="2">
        <v>4</v>
      </c>
      <c r="N66" t="s">
        <v>388</v>
      </c>
      <c r="O66" t="s">
        <v>1822</v>
      </c>
      <c r="R66" t="s">
        <v>432</v>
      </c>
      <c r="S66">
        <v>729</v>
      </c>
      <c r="T66" t="s">
        <v>133</v>
      </c>
      <c r="U66" s="2" t="s">
        <v>3</v>
      </c>
    </row>
    <row r="67" spans="1:21" ht="15" hidden="1" customHeight="1" x14ac:dyDescent="0.25">
      <c r="A67" s="3">
        <v>10600</v>
      </c>
      <c r="B67" s="3" t="s">
        <v>144</v>
      </c>
      <c r="D67" t="s">
        <v>1163</v>
      </c>
      <c r="E67" t="s">
        <v>10</v>
      </c>
      <c r="F67" t="s">
        <v>590</v>
      </c>
      <c r="G67" t="s">
        <v>772</v>
      </c>
      <c r="H67" t="s">
        <v>592</v>
      </c>
      <c r="I67" t="s">
        <v>773</v>
      </c>
      <c r="J67" t="s">
        <v>774</v>
      </c>
      <c r="L67" s="2">
        <v>0</v>
      </c>
      <c r="M67" s="2">
        <v>3</v>
      </c>
      <c r="N67" t="s">
        <v>388</v>
      </c>
      <c r="O67" t="s">
        <v>1821</v>
      </c>
      <c r="R67" t="s">
        <v>381</v>
      </c>
      <c r="S67">
        <v>763</v>
      </c>
      <c r="T67" t="s">
        <v>145</v>
      </c>
      <c r="U67" s="2" t="s">
        <v>3</v>
      </c>
    </row>
    <row r="68" spans="1:21" ht="15" hidden="1" customHeight="1" x14ac:dyDescent="0.25">
      <c r="A68" s="3">
        <v>19710</v>
      </c>
      <c r="B68" s="3" t="s">
        <v>196</v>
      </c>
      <c r="D68" t="s">
        <v>1163</v>
      </c>
      <c r="E68" t="s">
        <v>10</v>
      </c>
      <c r="F68" t="s">
        <v>590</v>
      </c>
      <c r="G68" t="s">
        <v>934</v>
      </c>
      <c r="H68" t="s">
        <v>592</v>
      </c>
      <c r="I68" t="s">
        <v>935</v>
      </c>
      <c r="J68" t="s">
        <v>936</v>
      </c>
      <c r="L68" s="2">
        <v>0</v>
      </c>
      <c r="M68" s="2">
        <v>5</v>
      </c>
      <c r="N68" t="s">
        <v>388</v>
      </c>
      <c r="O68" t="s">
        <v>1821</v>
      </c>
      <c r="R68" t="s">
        <v>381</v>
      </c>
      <c r="S68">
        <v>718</v>
      </c>
      <c r="T68" t="s">
        <v>196</v>
      </c>
      <c r="U68" s="2" t="s">
        <v>3</v>
      </c>
    </row>
    <row r="69" spans="1:21" ht="15" hidden="1" customHeight="1" x14ac:dyDescent="0.25">
      <c r="A69" s="3">
        <v>10604</v>
      </c>
      <c r="B69" s="3" t="s">
        <v>146</v>
      </c>
      <c r="D69" t="s">
        <v>1163</v>
      </c>
      <c r="E69" t="s">
        <v>10</v>
      </c>
      <c r="F69" t="s">
        <v>590</v>
      </c>
      <c r="G69" t="s">
        <v>963</v>
      </c>
      <c r="H69" t="s">
        <v>592</v>
      </c>
      <c r="I69" t="s">
        <v>964</v>
      </c>
      <c r="J69" t="s">
        <v>965</v>
      </c>
      <c r="L69" s="2">
        <v>0</v>
      </c>
      <c r="M69" s="2">
        <v>4</v>
      </c>
      <c r="N69" t="s">
        <v>388</v>
      </c>
      <c r="O69" t="s">
        <v>1821</v>
      </c>
      <c r="R69" t="s">
        <v>381</v>
      </c>
      <c r="S69">
        <v>768</v>
      </c>
      <c r="T69" t="s">
        <v>147</v>
      </c>
      <c r="U69" s="2" t="s">
        <v>3</v>
      </c>
    </row>
    <row r="70" spans="1:21" ht="15" hidden="1" customHeight="1" x14ac:dyDescent="0.25">
      <c r="A70" s="3">
        <v>10897</v>
      </c>
      <c r="B70" s="3" t="s">
        <v>156</v>
      </c>
      <c r="D70" t="s">
        <v>1163</v>
      </c>
      <c r="E70" t="s">
        <v>10</v>
      </c>
      <c r="F70" t="s">
        <v>590</v>
      </c>
      <c r="G70" t="s">
        <v>979</v>
      </c>
      <c r="H70" t="s">
        <v>592</v>
      </c>
      <c r="I70" t="s">
        <v>526</v>
      </c>
      <c r="J70" t="s">
        <v>980</v>
      </c>
      <c r="L70" s="2">
        <v>0</v>
      </c>
      <c r="M70" s="2">
        <v>4</v>
      </c>
      <c r="N70" t="s">
        <v>388</v>
      </c>
      <c r="O70" t="s">
        <v>1822</v>
      </c>
      <c r="R70" t="s">
        <v>432</v>
      </c>
      <c r="S70">
        <v>734</v>
      </c>
      <c r="T70" t="s">
        <v>156</v>
      </c>
      <c r="U70" s="2" t="s">
        <v>3</v>
      </c>
    </row>
    <row r="71" spans="1:21" ht="15" hidden="1" customHeight="1" x14ac:dyDescent="0.25">
      <c r="A71" s="3">
        <v>10330</v>
      </c>
      <c r="B71" s="3" t="s">
        <v>1434</v>
      </c>
      <c r="D71" t="s">
        <v>1163</v>
      </c>
      <c r="E71" t="s">
        <v>10</v>
      </c>
      <c r="F71" t="s">
        <v>590</v>
      </c>
      <c r="G71" t="s">
        <v>986</v>
      </c>
      <c r="H71" t="s">
        <v>592</v>
      </c>
      <c r="I71" t="s">
        <v>528</v>
      </c>
      <c r="J71" t="s">
        <v>987</v>
      </c>
      <c r="K71" s="9">
        <v>44095</v>
      </c>
      <c r="L71" s="7">
        <v>44095</v>
      </c>
      <c r="M71" s="2">
        <v>3</v>
      </c>
      <c r="N71" t="s">
        <v>388</v>
      </c>
      <c r="O71" t="s">
        <v>1822</v>
      </c>
      <c r="R71" t="s">
        <v>432</v>
      </c>
      <c r="S71">
        <v>760</v>
      </c>
      <c r="T71" t="s">
        <v>137</v>
      </c>
      <c r="U71" s="2" t="s">
        <v>3</v>
      </c>
    </row>
    <row r="72" spans="1:21" ht="15" hidden="1" customHeight="1" x14ac:dyDescent="0.25">
      <c r="A72" s="3">
        <v>1485</v>
      </c>
      <c r="B72" s="3" t="s">
        <v>68</v>
      </c>
      <c r="D72" t="s">
        <v>1163</v>
      </c>
      <c r="E72" t="s">
        <v>10</v>
      </c>
      <c r="F72" t="s">
        <v>590</v>
      </c>
      <c r="G72" t="s">
        <v>1364</v>
      </c>
      <c r="H72" t="s">
        <v>592</v>
      </c>
      <c r="I72" t="s">
        <v>550</v>
      </c>
      <c r="J72" t="s">
        <v>1395</v>
      </c>
      <c r="L72" s="2">
        <v>0</v>
      </c>
      <c r="M72" s="2">
        <v>5</v>
      </c>
      <c r="N72" t="s">
        <v>388</v>
      </c>
      <c r="O72" t="s">
        <v>1822</v>
      </c>
      <c r="R72" t="s">
        <v>432</v>
      </c>
      <c r="S72">
        <v>190</v>
      </c>
      <c r="T72" t="s">
        <v>69</v>
      </c>
      <c r="U72" s="2" t="s">
        <v>3</v>
      </c>
    </row>
    <row r="73" spans="1:21" ht="15" hidden="1" customHeight="1" x14ac:dyDescent="0.25">
      <c r="A73" s="3">
        <v>159300</v>
      </c>
      <c r="B73" t="s">
        <v>1798</v>
      </c>
      <c r="D73" t="s">
        <v>1797</v>
      </c>
      <c r="E73" t="s">
        <v>1123</v>
      </c>
      <c r="F73" t="s">
        <v>590</v>
      </c>
      <c r="K73"/>
      <c r="L73"/>
      <c r="M73" s="2" t="s">
        <v>413</v>
      </c>
      <c r="S73">
        <v>902</v>
      </c>
      <c r="U73" s="2" t="s">
        <v>3</v>
      </c>
    </row>
    <row r="74" spans="1:21" ht="15" hidden="1" customHeight="1" x14ac:dyDescent="0.25">
      <c r="A74" s="3">
        <v>11303</v>
      </c>
      <c r="B74" s="3" t="s">
        <v>157</v>
      </c>
      <c r="D74" t="s">
        <v>124</v>
      </c>
      <c r="E74" t="s">
        <v>251</v>
      </c>
      <c r="F74" t="s">
        <v>681</v>
      </c>
      <c r="G74" t="s">
        <v>682</v>
      </c>
      <c r="H74" t="s">
        <v>452</v>
      </c>
      <c r="I74" t="s">
        <v>456</v>
      </c>
      <c r="J74" t="s">
        <v>683</v>
      </c>
      <c r="K74" s="9">
        <v>44138</v>
      </c>
      <c r="L74" s="7">
        <v>44138</v>
      </c>
      <c r="M74" s="2">
        <v>5</v>
      </c>
      <c r="N74" t="s">
        <v>389</v>
      </c>
      <c r="O74" t="s">
        <v>1822</v>
      </c>
      <c r="R74" t="s">
        <v>432</v>
      </c>
      <c r="S74">
        <v>815</v>
      </c>
      <c r="T74" t="s">
        <v>157</v>
      </c>
      <c r="U74" s="2" t="s">
        <v>3</v>
      </c>
    </row>
    <row r="75" spans="1:21" ht="15" hidden="1" customHeight="1" x14ac:dyDescent="0.25">
      <c r="A75" s="3">
        <v>11304</v>
      </c>
      <c r="B75" s="3" t="s">
        <v>158</v>
      </c>
      <c r="D75" t="s">
        <v>124</v>
      </c>
      <c r="E75" t="s">
        <v>251</v>
      </c>
      <c r="F75" t="s">
        <v>681</v>
      </c>
      <c r="G75" t="s">
        <v>754</v>
      </c>
      <c r="H75" t="s">
        <v>592</v>
      </c>
      <c r="I75" t="s">
        <v>477</v>
      </c>
      <c r="J75" t="s">
        <v>755</v>
      </c>
      <c r="K75" s="9">
        <v>44138</v>
      </c>
      <c r="L75" s="7">
        <v>44138</v>
      </c>
      <c r="M75" s="2">
        <v>4</v>
      </c>
      <c r="N75" t="s">
        <v>389</v>
      </c>
      <c r="O75" t="s">
        <v>1822</v>
      </c>
      <c r="R75" t="s">
        <v>432</v>
      </c>
      <c r="S75">
        <v>816</v>
      </c>
      <c r="T75" t="s">
        <v>158</v>
      </c>
      <c r="U75" s="2" t="s">
        <v>3</v>
      </c>
    </row>
    <row r="76" spans="1:21" ht="15" hidden="1" customHeight="1" x14ac:dyDescent="0.25">
      <c r="A76" s="3">
        <v>9362</v>
      </c>
      <c r="B76" s="3" t="s">
        <v>125</v>
      </c>
      <c r="D76" t="s">
        <v>124</v>
      </c>
      <c r="E76" t="s">
        <v>251</v>
      </c>
      <c r="F76" t="s">
        <v>681</v>
      </c>
      <c r="G76" t="s">
        <v>798</v>
      </c>
      <c r="H76" t="s">
        <v>592</v>
      </c>
      <c r="I76" t="s">
        <v>489</v>
      </c>
      <c r="J76" t="s">
        <v>799</v>
      </c>
      <c r="K76" s="9">
        <v>44138</v>
      </c>
      <c r="L76" s="7">
        <v>44138</v>
      </c>
      <c r="M76" s="2">
        <v>5</v>
      </c>
      <c r="N76" t="s">
        <v>389</v>
      </c>
      <c r="O76" t="s">
        <v>1822</v>
      </c>
      <c r="R76" t="s">
        <v>432</v>
      </c>
      <c r="S76">
        <v>812</v>
      </c>
      <c r="T76" t="s">
        <v>125</v>
      </c>
      <c r="U76" s="2" t="s">
        <v>3</v>
      </c>
    </row>
    <row r="77" spans="1:21" ht="15" hidden="1" customHeight="1" x14ac:dyDescent="0.25">
      <c r="A77" s="3">
        <v>9360</v>
      </c>
      <c r="B77" s="3" t="s">
        <v>123</v>
      </c>
      <c r="D77" t="s">
        <v>124</v>
      </c>
      <c r="E77" t="s">
        <v>251</v>
      </c>
      <c r="F77" t="s">
        <v>681</v>
      </c>
      <c r="G77" t="s">
        <v>1045</v>
      </c>
      <c r="H77" t="s">
        <v>592</v>
      </c>
      <c r="I77" t="s">
        <v>541</v>
      </c>
      <c r="J77" t="s">
        <v>1046</v>
      </c>
      <c r="K77" s="9">
        <v>44138</v>
      </c>
      <c r="L77" s="7">
        <v>44138</v>
      </c>
      <c r="M77" s="2">
        <v>6</v>
      </c>
      <c r="N77" t="s">
        <v>389</v>
      </c>
      <c r="O77" t="s">
        <v>1822</v>
      </c>
      <c r="R77" t="s">
        <v>432</v>
      </c>
      <c r="S77">
        <v>813</v>
      </c>
      <c r="T77" t="s">
        <v>123</v>
      </c>
      <c r="U77" s="2" t="s">
        <v>3</v>
      </c>
    </row>
    <row r="78" spans="1:21" ht="15" hidden="1" customHeight="1" x14ac:dyDescent="0.25">
      <c r="A78" s="3">
        <v>11950</v>
      </c>
      <c r="B78" s="3" t="s">
        <v>161</v>
      </c>
      <c r="D78" t="s">
        <v>124</v>
      </c>
      <c r="E78" t="s">
        <v>251</v>
      </c>
      <c r="F78" t="s">
        <v>681</v>
      </c>
      <c r="G78" t="s">
        <v>1386</v>
      </c>
      <c r="H78" t="s">
        <v>1093</v>
      </c>
      <c r="I78" t="s">
        <v>553</v>
      </c>
      <c r="J78" t="s">
        <v>1094</v>
      </c>
      <c r="L78" s="2">
        <v>0</v>
      </c>
      <c r="M78" s="2">
        <v>4</v>
      </c>
      <c r="N78" t="s">
        <v>389</v>
      </c>
      <c r="O78" t="s">
        <v>1822</v>
      </c>
      <c r="R78" t="s">
        <v>432</v>
      </c>
      <c r="S78">
        <v>725</v>
      </c>
      <c r="T78" t="s">
        <v>161</v>
      </c>
      <c r="U78" s="2" t="s">
        <v>3</v>
      </c>
    </row>
    <row r="79" spans="1:21" ht="15" hidden="1" customHeight="1" x14ac:dyDescent="0.25">
      <c r="A79" s="3">
        <v>11900</v>
      </c>
      <c r="B79" s="3" t="s">
        <v>159</v>
      </c>
      <c r="D79" t="s">
        <v>124</v>
      </c>
      <c r="E79" t="s">
        <v>251</v>
      </c>
      <c r="F79" t="s">
        <v>681</v>
      </c>
      <c r="G79" t="s">
        <v>1095</v>
      </c>
      <c r="H79" t="s">
        <v>592</v>
      </c>
      <c r="I79" t="s">
        <v>554</v>
      </c>
      <c r="J79" t="s">
        <v>1096</v>
      </c>
      <c r="L79" s="2">
        <v>0</v>
      </c>
      <c r="M79" s="2">
        <v>8</v>
      </c>
      <c r="N79" t="s">
        <v>389</v>
      </c>
      <c r="O79" t="s">
        <v>1822</v>
      </c>
      <c r="R79" t="s">
        <v>432</v>
      </c>
      <c r="S79">
        <v>215</v>
      </c>
      <c r="T79" t="s">
        <v>160</v>
      </c>
      <c r="U79" s="2" t="s">
        <v>3</v>
      </c>
    </row>
    <row r="80" spans="1:21" ht="15" hidden="1" customHeight="1" x14ac:dyDescent="0.25">
      <c r="A80" s="3">
        <v>11962</v>
      </c>
      <c r="B80" s="3" t="s">
        <v>1446</v>
      </c>
      <c r="D80" t="s">
        <v>124</v>
      </c>
      <c r="E80" t="s">
        <v>251</v>
      </c>
      <c r="F80" t="s">
        <v>681</v>
      </c>
      <c r="K80"/>
      <c r="L80"/>
      <c r="M80" s="2">
        <v>4</v>
      </c>
      <c r="S80">
        <v>537</v>
      </c>
      <c r="U80" s="2" t="s">
        <v>3</v>
      </c>
    </row>
    <row r="81" spans="1:22" ht="15" hidden="1" customHeight="1" x14ac:dyDescent="0.25">
      <c r="A81" s="3">
        <v>11963</v>
      </c>
      <c r="B81" s="3" t="s">
        <v>1447</v>
      </c>
      <c r="D81" t="s">
        <v>124</v>
      </c>
      <c r="E81" t="s">
        <v>251</v>
      </c>
      <c r="F81" t="s">
        <v>681</v>
      </c>
      <c r="K81"/>
      <c r="L81"/>
      <c r="M81" s="2">
        <v>4</v>
      </c>
      <c r="S81">
        <v>538</v>
      </c>
      <c r="U81" s="2" t="s">
        <v>3</v>
      </c>
    </row>
    <row r="82" spans="1:22" ht="15" hidden="1" customHeight="1" x14ac:dyDescent="0.25">
      <c r="A82" s="3">
        <v>5502</v>
      </c>
      <c r="B82" s="3" t="s">
        <v>102</v>
      </c>
      <c r="D82" t="s">
        <v>1226</v>
      </c>
      <c r="E82" t="s">
        <v>6</v>
      </c>
      <c r="F82" t="s">
        <v>616</v>
      </c>
      <c r="G82" t="s">
        <v>661</v>
      </c>
      <c r="H82" t="s">
        <v>592</v>
      </c>
      <c r="I82" t="s">
        <v>450</v>
      </c>
      <c r="J82" t="s">
        <v>662</v>
      </c>
      <c r="L82" s="2">
        <v>0</v>
      </c>
      <c r="M82" s="2">
        <v>5</v>
      </c>
      <c r="N82" t="s">
        <v>389</v>
      </c>
      <c r="O82" t="s">
        <v>1822</v>
      </c>
      <c r="R82" t="s">
        <v>432</v>
      </c>
      <c r="S82">
        <v>45</v>
      </c>
      <c r="T82" t="s">
        <v>103</v>
      </c>
      <c r="U82" s="2" t="s">
        <v>3</v>
      </c>
    </row>
    <row r="83" spans="1:22" ht="15" hidden="1" customHeight="1" x14ac:dyDescent="0.25">
      <c r="A83" s="3">
        <v>54465</v>
      </c>
      <c r="B83" s="3" t="s">
        <v>282</v>
      </c>
      <c r="D83" t="s">
        <v>1226</v>
      </c>
      <c r="E83" t="s">
        <v>6</v>
      </c>
      <c r="F83" t="s">
        <v>616</v>
      </c>
      <c r="G83" t="s">
        <v>796</v>
      </c>
      <c r="H83" t="s">
        <v>592</v>
      </c>
      <c r="I83" t="s">
        <v>488</v>
      </c>
      <c r="J83" t="s">
        <v>797</v>
      </c>
      <c r="K83" s="9">
        <v>44214</v>
      </c>
      <c r="L83" s="7">
        <v>44214</v>
      </c>
      <c r="M83" s="2">
        <v>4</v>
      </c>
      <c r="N83" t="s">
        <v>389</v>
      </c>
      <c r="O83" t="s">
        <v>1822</v>
      </c>
      <c r="R83" t="s">
        <v>432</v>
      </c>
      <c r="S83">
        <v>830</v>
      </c>
      <c r="T83" t="s">
        <v>282</v>
      </c>
      <c r="U83" s="2" t="s">
        <v>3</v>
      </c>
    </row>
    <row r="84" spans="1:22" ht="15" hidden="1" customHeight="1" x14ac:dyDescent="0.25">
      <c r="A84" s="3">
        <v>54444</v>
      </c>
      <c r="B84" s="3" t="s">
        <v>280</v>
      </c>
      <c r="D84" t="s">
        <v>1226</v>
      </c>
      <c r="E84" t="s">
        <v>6</v>
      </c>
      <c r="F84" t="s">
        <v>616</v>
      </c>
      <c r="G84" t="s">
        <v>861</v>
      </c>
      <c r="H84" t="s">
        <v>592</v>
      </c>
      <c r="I84" t="s">
        <v>509</v>
      </c>
      <c r="J84" t="s">
        <v>862</v>
      </c>
      <c r="K84" s="9">
        <v>44214</v>
      </c>
      <c r="L84" s="7">
        <v>44214</v>
      </c>
      <c r="M84" s="2">
        <v>5</v>
      </c>
      <c r="N84" t="s">
        <v>389</v>
      </c>
      <c r="O84" t="s">
        <v>1822</v>
      </c>
      <c r="R84" t="s">
        <v>432</v>
      </c>
      <c r="S84">
        <v>834</v>
      </c>
      <c r="T84" t="s">
        <v>280</v>
      </c>
      <c r="U84" s="2" t="s">
        <v>3</v>
      </c>
    </row>
    <row r="85" spans="1:22" ht="15" hidden="1" customHeight="1" x14ac:dyDescent="0.25">
      <c r="A85" s="3">
        <v>54467</v>
      </c>
      <c r="B85" s="3" t="s">
        <v>284</v>
      </c>
      <c r="D85" t="s">
        <v>1226</v>
      </c>
      <c r="E85" t="s">
        <v>6</v>
      </c>
      <c r="F85" t="s">
        <v>616</v>
      </c>
      <c r="G85" t="s">
        <v>914</v>
      </c>
      <c r="H85" t="s">
        <v>592</v>
      </c>
      <c r="I85" t="s">
        <v>515</v>
      </c>
      <c r="J85" t="s">
        <v>915</v>
      </c>
      <c r="K85" s="9">
        <v>44214</v>
      </c>
      <c r="L85" s="7">
        <v>44214</v>
      </c>
      <c r="M85" s="2">
        <v>5</v>
      </c>
      <c r="N85" t="s">
        <v>389</v>
      </c>
      <c r="O85" t="s">
        <v>1822</v>
      </c>
      <c r="R85" t="s">
        <v>432</v>
      </c>
      <c r="S85">
        <v>835</v>
      </c>
      <c r="T85" t="s">
        <v>284</v>
      </c>
      <c r="U85" s="2" t="s">
        <v>3</v>
      </c>
      <c r="V85" t="s">
        <v>3</v>
      </c>
    </row>
    <row r="86" spans="1:22" ht="15" hidden="1" customHeight="1" x14ac:dyDescent="0.25">
      <c r="A86" s="3">
        <v>54468</v>
      </c>
      <c r="B86" s="3" t="s">
        <v>285</v>
      </c>
      <c r="D86" t="s">
        <v>1226</v>
      </c>
      <c r="E86" t="s">
        <v>6</v>
      </c>
      <c r="F86" t="s">
        <v>616</v>
      </c>
      <c r="G86" t="s">
        <v>984</v>
      </c>
      <c r="H86" t="s">
        <v>592</v>
      </c>
      <c r="I86" t="s">
        <v>527</v>
      </c>
      <c r="J86" t="s">
        <v>985</v>
      </c>
      <c r="K86" s="9">
        <v>44228</v>
      </c>
      <c r="L86" s="7">
        <v>44228</v>
      </c>
      <c r="M86" s="2">
        <v>4</v>
      </c>
      <c r="N86" t="s">
        <v>389</v>
      </c>
      <c r="O86" t="s">
        <v>1822</v>
      </c>
      <c r="R86" t="s">
        <v>432</v>
      </c>
      <c r="S86">
        <v>837</v>
      </c>
      <c r="T86" t="s">
        <v>286</v>
      </c>
      <c r="U86" s="2" t="s">
        <v>3</v>
      </c>
    </row>
    <row r="87" spans="1:22" ht="15" hidden="1" customHeight="1" x14ac:dyDescent="0.25">
      <c r="A87" s="3">
        <v>50850</v>
      </c>
      <c r="B87" s="3" t="s">
        <v>274</v>
      </c>
      <c r="D87" t="s">
        <v>1226</v>
      </c>
      <c r="E87" t="s">
        <v>6</v>
      </c>
      <c r="F87" t="s">
        <v>616</v>
      </c>
      <c r="G87" t="s">
        <v>1049</v>
      </c>
      <c r="H87" t="s">
        <v>592</v>
      </c>
      <c r="I87" t="s">
        <v>542</v>
      </c>
      <c r="J87" t="s">
        <v>1050</v>
      </c>
      <c r="L87" s="2">
        <v>0</v>
      </c>
      <c r="M87" s="2">
        <v>5</v>
      </c>
      <c r="N87" t="s">
        <v>389</v>
      </c>
      <c r="O87" t="s">
        <v>1822</v>
      </c>
      <c r="R87" t="s">
        <v>432</v>
      </c>
      <c r="S87">
        <v>445</v>
      </c>
      <c r="T87" t="s">
        <v>275</v>
      </c>
      <c r="U87" s="2" t="s">
        <v>3</v>
      </c>
    </row>
    <row r="88" spans="1:22" ht="15" hidden="1" customHeight="1" x14ac:dyDescent="0.25">
      <c r="A88" s="3">
        <v>6000034</v>
      </c>
      <c r="B88" s="3" t="s">
        <v>356</v>
      </c>
      <c r="D88" t="s">
        <v>1226</v>
      </c>
      <c r="E88" t="s">
        <v>6</v>
      </c>
      <c r="F88" t="s">
        <v>616</v>
      </c>
      <c r="G88" t="s">
        <v>1083</v>
      </c>
      <c r="H88" t="s">
        <v>592</v>
      </c>
      <c r="I88" t="s">
        <v>1084</v>
      </c>
      <c r="J88" t="s">
        <v>1085</v>
      </c>
      <c r="K88" s="9">
        <v>44648</v>
      </c>
      <c r="L88" s="7">
        <v>44648</v>
      </c>
      <c r="M88" s="2">
        <v>3</v>
      </c>
      <c r="N88" t="s">
        <v>388</v>
      </c>
      <c r="O88" t="s">
        <v>1821</v>
      </c>
      <c r="R88" t="s">
        <v>381</v>
      </c>
      <c r="S88">
        <v>476</v>
      </c>
      <c r="T88" t="s">
        <v>356</v>
      </c>
      <c r="U88" s="2" t="s">
        <v>3</v>
      </c>
    </row>
    <row r="89" spans="1:22" ht="15" hidden="1" customHeight="1" x14ac:dyDescent="0.25">
      <c r="A89" s="3">
        <v>94438</v>
      </c>
      <c r="B89" s="3" t="s">
        <v>1121</v>
      </c>
      <c r="D89" t="s">
        <v>1290</v>
      </c>
      <c r="E89" t="s">
        <v>122</v>
      </c>
      <c r="F89" t="s">
        <v>1140</v>
      </c>
      <c r="G89" t="s">
        <v>1148</v>
      </c>
      <c r="H89" t="s">
        <v>592</v>
      </c>
      <c r="I89" t="s">
        <v>1146</v>
      </c>
      <c r="M89" s="2">
        <v>3</v>
      </c>
      <c r="O89" t="s">
        <v>1822</v>
      </c>
      <c r="R89" t="s">
        <v>428</v>
      </c>
      <c r="S89">
        <v>511</v>
      </c>
      <c r="T89" t="s">
        <v>1122</v>
      </c>
      <c r="U89" s="2" t="s">
        <v>3</v>
      </c>
    </row>
    <row r="90" spans="1:22" ht="15" hidden="1" customHeight="1" x14ac:dyDescent="0.25">
      <c r="A90" s="3">
        <v>7763</v>
      </c>
      <c r="B90" s="3" t="s">
        <v>1470</v>
      </c>
      <c r="D90" t="s">
        <v>1290</v>
      </c>
      <c r="E90" t="s">
        <v>122</v>
      </c>
      <c r="F90" t="s">
        <v>937</v>
      </c>
      <c r="G90" t="s">
        <v>1499</v>
      </c>
      <c r="H90" t="s">
        <v>592</v>
      </c>
      <c r="I90" t="s">
        <v>1500</v>
      </c>
      <c r="J90" t="s">
        <v>1501</v>
      </c>
      <c r="K90"/>
      <c r="L90"/>
      <c r="M90" s="2">
        <v>2</v>
      </c>
      <c r="S90">
        <v>950</v>
      </c>
      <c r="T90" t="s">
        <v>1470</v>
      </c>
      <c r="U90" s="2" t="s">
        <v>3</v>
      </c>
    </row>
    <row r="91" spans="1:22" ht="15" hidden="1" customHeight="1" x14ac:dyDescent="0.25">
      <c r="A91" s="3">
        <v>7758</v>
      </c>
      <c r="B91" s="3" t="s">
        <v>1472</v>
      </c>
      <c r="D91" t="s">
        <v>1290</v>
      </c>
      <c r="E91" t="s">
        <v>122</v>
      </c>
      <c r="F91" t="s">
        <v>937</v>
      </c>
      <c r="G91" t="s">
        <v>1506</v>
      </c>
      <c r="H91" t="s">
        <v>592</v>
      </c>
      <c r="I91" t="s">
        <v>1507</v>
      </c>
      <c r="J91" t="s">
        <v>1508</v>
      </c>
      <c r="K91"/>
      <c r="L91"/>
      <c r="M91" s="2">
        <v>3</v>
      </c>
      <c r="S91">
        <v>941</v>
      </c>
      <c r="T91" t="s">
        <v>1472</v>
      </c>
      <c r="U91" s="2" t="s">
        <v>3</v>
      </c>
    </row>
    <row r="92" spans="1:22" ht="15" hidden="1" customHeight="1" x14ac:dyDescent="0.25">
      <c r="A92" s="3">
        <v>7756</v>
      </c>
      <c r="B92" s="3" t="s">
        <v>1479</v>
      </c>
      <c r="D92" t="s">
        <v>1290</v>
      </c>
      <c r="E92" t="s">
        <v>122</v>
      </c>
      <c r="F92" t="s">
        <v>937</v>
      </c>
      <c r="G92" t="s">
        <v>1527</v>
      </c>
      <c r="H92" t="s">
        <v>592</v>
      </c>
      <c r="I92" t="s">
        <v>1528</v>
      </c>
      <c r="J92" t="s">
        <v>1529</v>
      </c>
      <c r="K92"/>
      <c r="L92"/>
      <c r="M92" s="2">
        <v>3</v>
      </c>
      <c r="S92">
        <v>942</v>
      </c>
      <c r="T92" t="s">
        <v>1479</v>
      </c>
      <c r="U92" s="2" t="s">
        <v>3</v>
      </c>
    </row>
    <row r="93" spans="1:22" ht="15" hidden="1" customHeight="1" x14ac:dyDescent="0.25">
      <c r="A93" s="3">
        <v>7760</v>
      </c>
      <c r="B93" s="3" t="s">
        <v>1482</v>
      </c>
      <c r="D93" t="s">
        <v>1290</v>
      </c>
      <c r="E93" t="s">
        <v>122</v>
      </c>
      <c r="F93" t="s">
        <v>937</v>
      </c>
      <c r="G93" t="s">
        <v>1536</v>
      </c>
      <c r="H93" t="s">
        <v>592</v>
      </c>
      <c r="I93" t="s">
        <v>1537</v>
      </c>
      <c r="J93" t="s">
        <v>1538</v>
      </c>
      <c r="K93"/>
      <c r="L93"/>
      <c r="M93" s="2">
        <v>3</v>
      </c>
      <c r="S93">
        <v>951</v>
      </c>
      <c r="T93" t="s">
        <v>1482</v>
      </c>
      <c r="U93" s="2" t="s">
        <v>3</v>
      </c>
    </row>
    <row r="94" spans="1:22" ht="15" hidden="1" customHeight="1" x14ac:dyDescent="0.25">
      <c r="A94" s="3">
        <v>40325</v>
      </c>
      <c r="B94" s="3" t="s">
        <v>252</v>
      </c>
      <c r="D94" t="s">
        <v>1329</v>
      </c>
      <c r="E94" t="s">
        <v>165</v>
      </c>
      <c r="F94" t="s">
        <v>638</v>
      </c>
      <c r="G94" t="s">
        <v>787</v>
      </c>
      <c r="H94" t="s">
        <v>592</v>
      </c>
      <c r="I94" t="s">
        <v>788</v>
      </c>
      <c r="J94" t="s">
        <v>789</v>
      </c>
      <c r="K94" s="9">
        <v>44578</v>
      </c>
      <c r="L94" s="7">
        <v>44578</v>
      </c>
      <c r="M94" s="8">
        <v>5</v>
      </c>
      <c r="N94" t="s">
        <v>388</v>
      </c>
      <c r="O94" t="s">
        <v>1821</v>
      </c>
      <c r="R94" t="s">
        <v>381</v>
      </c>
      <c r="S94">
        <v>879</v>
      </c>
      <c r="T94" t="s">
        <v>253</v>
      </c>
      <c r="U94" s="2" t="s">
        <v>3</v>
      </c>
    </row>
    <row r="95" spans="1:22" ht="15" hidden="1" customHeight="1" x14ac:dyDescent="0.25">
      <c r="A95" s="3">
        <v>400013</v>
      </c>
      <c r="B95" s="3" t="s">
        <v>330</v>
      </c>
      <c r="D95" t="s">
        <v>1329</v>
      </c>
      <c r="E95" t="s">
        <v>165</v>
      </c>
      <c r="F95" t="s">
        <v>638</v>
      </c>
      <c r="G95" t="s">
        <v>690</v>
      </c>
      <c r="H95" t="s">
        <v>592</v>
      </c>
      <c r="I95" t="s">
        <v>691</v>
      </c>
      <c r="J95" t="s">
        <v>692</v>
      </c>
      <c r="K95" s="9">
        <v>44593</v>
      </c>
      <c r="L95" s="7">
        <v>44593</v>
      </c>
      <c r="M95" s="2">
        <v>3</v>
      </c>
      <c r="N95" t="s">
        <v>388</v>
      </c>
      <c r="O95" t="s">
        <v>1821</v>
      </c>
      <c r="R95" t="s">
        <v>381</v>
      </c>
      <c r="S95">
        <v>877</v>
      </c>
      <c r="T95" t="s">
        <v>330</v>
      </c>
      <c r="U95" s="2" t="s">
        <v>3</v>
      </c>
    </row>
    <row r="96" spans="1:22" ht="15" hidden="1" customHeight="1" x14ac:dyDescent="0.25">
      <c r="A96" s="3">
        <v>40324</v>
      </c>
      <c r="B96" s="3" t="s">
        <v>249</v>
      </c>
      <c r="D96" t="s">
        <v>1329</v>
      </c>
      <c r="E96" t="s">
        <v>165</v>
      </c>
      <c r="F96" t="s">
        <v>638</v>
      </c>
      <c r="G96" t="s">
        <v>645</v>
      </c>
      <c r="H96" t="s">
        <v>646</v>
      </c>
      <c r="I96" t="s">
        <v>444</v>
      </c>
      <c r="J96" t="s">
        <v>647</v>
      </c>
      <c r="K96" s="9">
        <v>44578</v>
      </c>
      <c r="L96" s="7">
        <v>44578</v>
      </c>
      <c r="M96" s="8">
        <v>3</v>
      </c>
      <c r="N96" t="s">
        <v>388</v>
      </c>
      <c r="O96" t="s">
        <v>1821</v>
      </c>
      <c r="R96" t="s">
        <v>381</v>
      </c>
      <c r="S96">
        <v>878</v>
      </c>
      <c r="T96" t="s">
        <v>250</v>
      </c>
      <c r="U96" s="2" t="s">
        <v>3</v>
      </c>
    </row>
    <row r="97" spans="1:22" ht="15" hidden="1" customHeight="1" x14ac:dyDescent="0.25">
      <c r="A97" s="3">
        <v>400012</v>
      </c>
      <c r="B97" s="3" t="s">
        <v>328</v>
      </c>
      <c r="D97" t="s">
        <v>1329</v>
      </c>
      <c r="E97" t="s">
        <v>165</v>
      </c>
      <c r="F97" t="s">
        <v>638</v>
      </c>
      <c r="G97" t="s">
        <v>825</v>
      </c>
      <c r="H97" t="s">
        <v>592</v>
      </c>
      <c r="I97" t="s">
        <v>826</v>
      </c>
      <c r="J97" t="s">
        <v>827</v>
      </c>
      <c r="K97" s="9">
        <v>44634</v>
      </c>
      <c r="L97" s="7">
        <v>44634</v>
      </c>
      <c r="M97" s="2">
        <v>3</v>
      </c>
      <c r="N97" t="s">
        <v>388</v>
      </c>
      <c r="O97" t="s">
        <v>1821</v>
      </c>
      <c r="R97" t="s">
        <v>381</v>
      </c>
      <c r="S97">
        <v>882</v>
      </c>
      <c r="T97" t="s">
        <v>329</v>
      </c>
      <c r="U97" s="2" t="s">
        <v>3</v>
      </c>
    </row>
    <row r="98" spans="1:22" ht="15" hidden="1" customHeight="1" x14ac:dyDescent="0.25">
      <c r="A98" s="3">
        <v>400010</v>
      </c>
      <c r="B98" s="3" t="s">
        <v>324</v>
      </c>
      <c r="D98" t="s">
        <v>1329</v>
      </c>
      <c r="E98" t="s">
        <v>165</v>
      </c>
      <c r="F98" t="s">
        <v>638</v>
      </c>
      <c r="G98" t="s">
        <v>976</v>
      </c>
      <c r="H98" t="s">
        <v>592</v>
      </c>
      <c r="I98" t="s">
        <v>977</v>
      </c>
      <c r="J98" t="s">
        <v>978</v>
      </c>
      <c r="K98" s="9">
        <v>44578</v>
      </c>
      <c r="L98" s="7">
        <v>44578</v>
      </c>
      <c r="M98" s="2">
        <v>3</v>
      </c>
      <c r="N98" t="s">
        <v>388</v>
      </c>
      <c r="O98" t="s">
        <v>1821</v>
      </c>
      <c r="R98" t="s">
        <v>381</v>
      </c>
      <c r="S98">
        <v>881</v>
      </c>
      <c r="T98" t="s">
        <v>325</v>
      </c>
      <c r="U98" s="2" t="s">
        <v>3</v>
      </c>
    </row>
    <row r="99" spans="1:22" ht="15" hidden="1" customHeight="1" x14ac:dyDescent="0.25">
      <c r="A99" s="3">
        <v>92760</v>
      </c>
      <c r="B99" s="3" t="s">
        <v>319</v>
      </c>
      <c r="D99" t="s">
        <v>1329</v>
      </c>
      <c r="E99" t="s">
        <v>165</v>
      </c>
      <c r="F99" t="s">
        <v>638</v>
      </c>
      <c r="G99" t="s">
        <v>1079</v>
      </c>
      <c r="H99" t="s">
        <v>592</v>
      </c>
      <c r="I99" t="s">
        <v>1080</v>
      </c>
      <c r="J99" t="s">
        <v>1081</v>
      </c>
      <c r="K99" s="9">
        <v>44578</v>
      </c>
      <c r="L99" s="7">
        <v>44578</v>
      </c>
      <c r="M99" s="2">
        <v>3</v>
      </c>
      <c r="N99" t="s">
        <v>388</v>
      </c>
      <c r="O99" t="s">
        <v>1821</v>
      </c>
      <c r="R99" t="s">
        <v>381</v>
      </c>
      <c r="S99">
        <v>875</v>
      </c>
      <c r="T99" t="s">
        <v>319</v>
      </c>
      <c r="U99" s="2" t="s">
        <v>3</v>
      </c>
    </row>
    <row r="100" spans="1:22" ht="15" hidden="1" customHeight="1" x14ac:dyDescent="0.25">
      <c r="A100" s="3">
        <v>400011</v>
      </c>
      <c r="B100" s="3" t="s">
        <v>326</v>
      </c>
      <c r="D100" t="s">
        <v>1329</v>
      </c>
      <c r="E100" t="s">
        <v>165</v>
      </c>
      <c r="F100" t="s">
        <v>638</v>
      </c>
      <c r="G100" t="s">
        <v>1090</v>
      </c>
      <c r="H100" t="s">
        <v>592</v>
      </c>
      <c r="I100" t="s">
        <v>1091</v>
      </c>
      <c r="J100" t="s">
        <v>1092</v>
      </c>
      <c r="K100" s="9">
        <v>44620</v>
      </c>
      <c r="L100" s="7">
        <v>44620</v>
      </c>
      <c r="M100" s="2">
        <v>3</v>
      </c>
      <c r="N100" t="s">
        <v>388</v>
      </c>
      <c r="O100" t="s">
        <v>1821</v>
      </c>
      <c r="R100" t="s">
        <v>381</v>
      </c>
      <c r="S100">
        <v>883</v>
      </c>
      <c r="T100" t="s">
        <v>327</v>
      </c>
      <c r="U100" s="2" t="s">
        <v>3</v>
      </c>
    </row>
    <row r="101" spans="1:22" ht="15" hidden="1" customHeight="1" x14ac:dyDescent="0.25">
      <c r="A101" s="3">
        <v>7761</v>
      </c>
      <c r="B101" s="3" t="s">
        <v>1480</v>
      </c>
      <c r="D101" t="s">
        <v>1329</v>
      </c>
      <c r="E101" t="s">
        <v>165</v>
      </c>
      <c r="F101" t="s">
        <v>638</v>
      </c>
      <c r="G101" t="s">
        <v>1530</v>
      </c>
      <c r="H101" t="s">
        <v>592</v>
      </c>
      <c r="I101" t="s">
        <v>1531</v>
      </c>
      <c r="J101" t="s">
        <v>1532</v>
      </c>
      <c r="K101"/>
      <c r="L101">
        <v>0</v>
      </c>
      <c r="M101" s="2">
        <v>3</v>
      </c>
      <c r="S101">
        <v>946</v>
      </c>
      <c r="U101" s="2" t="s">
        <v>3</v>
      </c>
    </row>
    <row r="102" spans="1:22" ht="15" hidden="1" customHeight="1" x14ac:dyDescent="0.25">
      <c r="A102" s="3">
        <v>7765</v>
      </c>
      <c r="B102" s="3" t="s">
        <v>1552</v>
      </c>
      <c r="D102" t="s">
        <v>1329</v>
      </c>
      <c r="E102" t="s">
        <v>165</v>
      </c>
      <c r="F102" t="s">
        <v>638</v>
      </c>
      <c r="G102" t="s">
        <v>1792</v>
      </c>
      <c r="H102" t="s">
        <v>592</v>
      </c>
      <c r="I102" t="s">
        <v>1793</v>
      </c>
      <c r="J102" t="s">
        <v>1794</v>
      </c>
      <c r="K102" s="9">
        <v>45636</v>
      </c>
      <c r="L102" s="9">
        <v>45636</v>
      </c>
      <c r="M102" s="2">
        <v>4</v>
      </c>
      <c r="S102">
        <v>957</v>
      </c>
      <c r="U102" s="2" t="s">
        <v>3</v>
      </c>
    </row>
    <row r="103" spans="1:22" ht="15" hidden="1" customHeight="1" x14ac:dyDescent="0.25">
      <c r="A103" s="3">
        <v>31174</v>
      </c>
      <c r="B103" s="3" t="s">
        <v>231</v>
      </c>
      <c r="D103" t="s">
        <v>370</v>
      </c>
      <c r="E103" t="s">
        <v>6</v>
      </c>
      <c r="F103" t="s">
        <v>594</v>
      </c>
      <c r="G103" t="s">
        <v>595</v>
      </c>
      <c r="H103" t="s">
        <v>596</v>
      </c>
      <c r="I103" t="s">
        <v>434</v>
      </c>
      <c r="J103" t="s">
        <v>597</v>
      </c>
      <c r="L103" s="2">
        <v>0</v>
      </c>
      <c r="M103" s="2">
        <v>4</v>
      </c>
      <c r="N103" t="s">
        <v>388</v>
      </c>
      <c r="O103" t="s">
        <v>1822</v>
      </c>
      <c r="R103" t="s">
        <v>432</v>
      </c>
      <c r="S103">
        <v>735</v>
      </c>
      <c r="T103" t="s">
        <v>232</v>
      </c>
      <c r="U103" s="2" t="s">
        <v>3</v>
      </c>
    </row>
    <row r="104" spans="1:22" ht="15" hidden="1" customHeight="1" x14ac:dyDescent="0.25">
      <c r="A104" s="3">
        <v>3802</v>
      </c>
      <c r="B104" s="3" t="s">
        <v>92</v>
      </c>
      <c r="D104" t="s">
        <v>370</v>
      </c>
      <c r="E104" t="s">
        <v>6</v>
      </c>
      <c r="F104" t="s">
        <v>594</v>
      </c>
      <c r="G104" t="s">
        <v>713</v>
      </c>
      <c r="H104" t="s">
        <v>592</v>
      </c>
      <c r="I104" t="s">
        <v>466</v>
      </c>
      <c r="J104" t="s">
        <v>714</v>
      </c>
      <c r="L104" s="2">
        <v>0</v>
      </c>
      <c r="M104" s="2">
        <v>6</v>
      </c>
      <c r="N104" t="s">
        <v>388</v>
      </c>
      <c r="O104" t="s">
        <v>1822</v>
      </c>
      <c r="R104" t="s">
        <v>432</v>
      </c>
      <c r="S104">
        <v>133</v>
      </c>
      <c r="T104" t="s">
        <v>93</v>
      </c>
      <c r="U104" s="2" t="s">
        <v>3</v>
      </c>
      <c r="V104" t="s">
        <v>3</v>
      </c>
    </row>
    <row r="105" spans="1:22" ht="15" hidden="1" customHeight="1" x14ac:dyDescent="0.25">
      <c r="A105" s="3">
        <v>3801</v>
      </c>
      <c r="B105" s="3" t="s">
        <v>91</v>
      </c>
      <c r="D105" t="s">
        <v>370</v>
      </c>
      <c r="E105" t="s">
        <v>6</v>
      </c>
      <c r="F105" t="s">
        <v>594</v>
      </c>
      <c r="G105" t="s">
        <v>724</v>
      </c>
      <c r="H105" t="s">
        <v>725</v>
      </c>
      <c r="I105" t="s">
        <v>470</v>
      </c>
      <c r="J105" t="s">
        <v>726</v>
      </c>
      <c r="L105" s="2">
        <v>0</v>
      </c>
      <c r="M105" s="2">
        <v>4</v>
      </c>
      <c r="N105" t="s">
        <v>388</v>
      </c>
      <c r="O105" t="s">
        <v>1822</v>
      </c>
      <c r="R105" t="s">
        <v>432</v>
      </c>
      <c r="S105">
        <v>125</v>
      </c>
      <c r="T105" t="s">
        <v>91</v>
      </c>
      <c r="U105" s="2" t="s">
        <v>3</v>
      </c>
    </row>
    <row r="106" spans="1:22" ht="15" hidden="1" customHeight="1" x14ac:dyDescent="0.25">
      <c r="A106" s="3">
        <v>30110</v>
      </c>
      <c r="B106" s="3" t="s">
        <v>229</v>
      </c>
      <c r="D106" t="s">
        <v>370</v>
      </c>
      <c r="E106" t="s">
        <v>6</v>
      </c>
      <c r="F106" t="s">
        <v>594</v>
      </c>
      <c r="G106" t="s">
        <v>854</v>
      </c>
      <c r="H106" t="s">
        <v>855</v>
      </c>
      <c r="I106" t="s">
        <v>506</v>
      </c>
      <c r="J106" t="s">
        <v>856</v>
      </c>
      <c r="L106" s="2">
        <v>0</v>
      </c>
      <c r="M106" s="2">
        <v>6</v>
      </c>
      <c r="N106" t="s">
        <v>388</v>
      </c>
      <c r="O106" t="s">
        <v>1822</v>
      </c>
      <c r="R106" t="s">
        <v>432</v>
      </c>
      <c r="S106">
        <v>306</v>
      </c>
      <c r="T106" t="s">
        <v>230</v>
      </c>
      <c r="U106" s="2" t="s">
        <v>3</v>
      </c>
    </row>
    <row r="107" spans="1:22" ht="15" hidden="1" customHeight="1" x14ac:dyDescent="0.25">
      <c r="A107" s="3">
        <v>31220</v>
      </c>
      <c r="B107" s="3" t="s">
        <v>235</v>
      </c>
      <c r="D107" t="s">
        <v>370</v>
      </c>
      <c r="E107" t="s">
        <v>6</v>
      </c>
      <c r="F107" t="s">
        <v>594</v>
      </c>
      <c r="G107" t="s">
        <v>863</v>
      </c>
      <c r="H107" t="s">
        <v>592</v>
      </c>
      <c r="I107" t="s">
        <v>510</v>
      </c>
      <c r="J107" t="s">
        <v>864</v>
      </c>
      <c r="L107" s="2">
        <v>0</v>
      </c>
      <c r="M107" s="2">
        <v>5</v>
      </c>
      <c r="N107" t="s">
        <v>388</v>
      </c>
      <c r="O107" t="s">
        <v>1822</v>
      </c>
      <c r="R107" t="s">
        <v>432</v>
      </c>
      <c r="S107">
        <v>741</v>
      </c>
      <c r="T107" t="s">
        <v>235</v>
      </c>
      <c r="U107" s="2" t="s">
        <v>3</v>
      </c>
    </row>
    <row r="108" spans="1:22" ht="15" hidden="1" customHeight="1" x14ac:dyDescent="0.25">
      <c r="A108" s="3">
        <v>31175</v>
      </c>
      <c r="B108" s="3" t="s">
        <v>233</v>
      </c>
      <c r="D108" t="s">
        <v>370</v>
      </c>
      <c r="E108" t="s">
        <v>6</v>
      </c>
      <c r="F108" t="s">
        <v>594</v>
      </c>
      <c r="G108" t="s">
        <v>999</v>
      </c>
      <c r="H108" t="s">
        <v>592</v>
      </c>
      <c r="I108" t="s">
        <v>533</v>
      </c>
      <c r="J108" t="s">
        <v>1000</v>
      </c>
      <c r="L108" s="2">
        <v>0</v>
      </c>
      <c r="M108" s="2">
        <v>4</v>
      </c>
      <c r="N108" t="s">
        <v>388</v>
      </c>
      <c r="O108" t="s">
        <v>1822</v>
      </c>
      <c r="R108" t="s">
        <v>432</v>
      </c>
      <c r="S108">
        <v>736</v>
      </c>
      <c r="T108" t="s">
        <v>234</v>
      </c>
      <c r="U108" s="2" t="s">
        <v>3</v>
      </c>
    </row>
    <row r="109" spans="1:22" ht="15" hidden="1" customHeight="1" x14ac:dyDescent="0.25">
      <c r="A109" s="3">
        <v>31423</v>
      </c>
      <c r="B109" s="3" t="s">
        <v>1465</v>
      </c>
      <c r="D109" t="s">
        <v>370</v>
      </c>
      <c r="E109" t="s">
        <v>6</v>
      </c>
      <c r="F109" t="s">
        <v>594</v>
      </c>
      <c r="G109" t="s">
        <v>1484</v>
      </c>
      <c r="H109" t="s">
        <v>592</v>
      </c>
      <c r="I109" t="s">
        <v>1485</v>
      </c>
      <c r="J109" t="s">
        <v>1486</v>
      </c>
      <c r="K109"/>
      <c r="L109" s="2">
        <v>0</v>
      </c>
      <c r="M109" s="2">
        <v>3</v>
      </c>
      <c r="O109" t="s">
        <v>1822</v>
      </c>
      <c r="R109" t="s">
        <v>432</v>
      </c>
      <c r="S109">
        <v>932</v>
      </c>
      <c r="T109" t="s">
        <v>1465</v>
      </c>
      <c r="U109" s="2" t="s">
        <v>3</v>
      </c>
    </row>
    <row r="110" spans="1:22" ht="15" hidden="1" customHeight="1" x14ac:dyDescent="0.25">
      <c r="A110" s="3">
        <v>31425</v>
      </c>
      <c r="B110" s="3" t="s">
        <v>1469</v>
      </c>
      <c r="D110" t="s">
        <v>370</v>
      </c>
      <c r="E110" t="s">
        <v>6</v>
      </c>
      <c r="F110" t="s">
        <v>594</v>
      </c>
      <c r="G110" t="s">
        <v>1496</v>
      </c>
      <c r="H110" t="s">
        <v>592</v>
      </c>
      <c r="I110" t="s">
        <v>1497</v>
      </c>
      <c r="J110" t="s">
        <v>1498</v>
      </c>
      <c r="K110"/>
      <c r="L110" s="2">
        <v>0</v>
      </c>
      <c r="M110" s="2">
        <v>3</v>
      </c>
      <c r="O110" t="s">
        <v>1822</v>
      </c>
      <c r="R110" t="s">
        <v>432</v>
      </c>
      <c r="S110">
        <v>938</v>
      </c>
      <c r="T110" t="s">
        <v>1469</v>
      </c>
      <c r="U110" s="2" t="s">
        <v>3</v>
      </c>
    </row>
    <row r="111" spans="1:22" ht="15" hidden="1" customHeight="1" x14ac:dyDescent="0.25">
      <c r="A111" s="3">
        <v>31424</v>
      </c>
      <c r="B111" s="3" t="s">
        <v>1471</v>
      </c>
      <c r="D111" t="s">
        <v>370</v>
      </c>
      <c r="E111" t="s">
        <v>6</v>
      </c>
      <c r="F111" t="s">
        <v>594</v>
      </c>
      <c r="G111" t="s">
        <v>1502</v>
      </c>
      <c r="H111" t="s">
        <v>1503</v>
      </c>
      <c r="I111" t="s">
        <v>1504</v>
      </c>
      <c r="J111" t="s">
        <v>1505</v>
      </c>
      <c r="K111"/>
      <c r="L111" s="2">
        <v>0</v>
      </c>
      <c r="M111" s="2">
        <v>3</v>
      </c>
      <c r="O111" t="s">
        <v>1822</v>
      </c>
      <c r="R111" t="s">
        <v>432</v>
      </c>
      <c r="S111">
        <v>937</v>
      </c>
      <c r="T111" t="s">
        <v>1471</v>
      </c>
      <c r="U111" s="2" t="s">
        <v>3</v>
      </c>
    </row>
    <row r="112" spans="1:22" ht="15" hidden="1" customHeight="1" x14ac:dyDescent="0.25">
      <c r="A112" s="3">
        <v>31422</v>
      </c>
      <c r="B112" s="3" t="s">
        <v>1475</v>
      </c>
      <c r="D112" t="s">
        <v>370</v>
      </c>
      <c r="E112" t="s">
        <v>6</v>
      </c>
      <c r="F112" t="s">
        <v>594</v>
      </c>
      <c r="G112" t="s">
        <v>1516</v>
      </c>
      <c r="H112" t="s">
        <v>592</v>
      </c>
      <c r="I112" t="s">
        <v>1517</v>
      </c>
      <c r="J112" t="s">
        <v>1518</v>
      </c>
      <c r="K112"/>
      <c r="L112" s="2">
        <v>0</v>
      </c>
      <c r="M112" s="2">
        <v>3</v>
      </c>
      <c r="O112" t="s">
        <v>1822</v>
      </c>
      <c r="R112" t="s">
        <v>432</v>
      </c>
      <c r="S112">
        <v>943</v>
      </c>
      <c r="T112" t="s">
        <v>1475</v>
      </c>
      <c r="U112" s="2" t="s">
        <v>3</v>
      </c>
    </row>
    <row r="113" spans="1:21" ht="15" hidden="1" customHeight="1" x14ac:dyDescent="0.25">
      <c r="A113" s="3">
        <v>49001</v>
      </c>
      <c r="B113" s="3" t="s">
        <v>1403</v>
      </c>
      <c r="D113" t="s">
        <v>1291</v>
      </c>
      <c r="E113" t="s">
        <v>122</v>
      </c>
      <c r="F113" t="s">
        <v>638</v>
      </c>
      <c r="G113" t="s">
        <v>1404</v>
      </c>
      <c r="H113" t="s">
        <v>592</v>
      </c>
      <c r="I113" t="s">
        <v>1405</v>
      </c>
      <c r="J113" t="s">
        <v>1406</v>
      </c>
      <c r="M113" s="2">
        <v>3</v>
      </c>
      <c r="S113">
        <v>529</v>
      </c>
      <c r="U113" s="2" t="s">
        <v>3</v>
      </c>
    </row>
    <row r="114" spans="1:21" ht="15" hidden="1" customHeight="1" x14ac:dyDescent="0.25">
      <c r="A114" s="3">
        <v>7752</v>
      </c>
      <c r="B114" s="3" t="s">
        <v>1411</v>
      </c>
      <c r="D114" t="s">
        <v>1291</v>
      </c>
      <c r="E114" t="s">
        <v>122</v>
      </c>
      <c r="F114" t="s">
        <v>937</v>
      </c>
      <c r="G114" t="s">
        <v>1412</v>
      </c>
      <c r="H114" t="s">
        <v>592</v>
      </c>
      <c r="I114" t="s">
        <v>1413</v>
      </c>
      <c r="J114" t="s">
        <v>1414</v>
      </c>
      <c r="M114" s="2">
        <v>3</v>
      </c>
      <c r="S114">
        <v>534</v>
      </c>
      <c r="U114" s="2" t="s">
        <v>3</v>
      </c>
    </row>
    <row r="115" spans="1:21" ht="15" hidden="1" customHeight="1" x14ac:dyDescent="0.25">
      <c r="A115" s="3">
        <v>7751</v>
      </c>
      <c r="B115" s="3" t="s">
        <v>1415</v>
      </c>
      <c r="D115" t="s">
        <v>1291</v>
      </c>
      <c r="E115" t="s">
        <v>122</v>
      </c>
      <c r="F115" t="s">
        <v>937</v>
      </c>
      <c r="G115" t="s">
        <v>1416</v>
      </c>
      <c r="H115" t="s">
        <v>592</v>
      </c>
      <c r="I115" t="s">
        <v>1417</v>
      </c>
      <c r="J115" t="s">
        <v>1418</v>
      </c>
      <c r="M115" s="2">
        <v>4</v>
      </c>
      <c r="S115">
        <v>533</v>
      </c>
      <c r="U115" s="2" t="s">
        <v>3</v>
      </c>
    </row>
    <row r="116" spans="1:21" ht="15" hidden="1" customHeight="1" x14ac:dyDescent="0.25">
      <c r="A116" s="3">
        <v>7749</v>
      </c>
      <c r="B116" s="3" t="s">
        <v>1419</v>
      </c>
      <c r="D116" t="s">
        <v>1291</v>
      </c>
      <c r="E116" t="s">
        <v>122</v>
      </c>
      <c r="F116" t="s">
        <v>937</v>
      </c>
      <c r="G116" t="s">
        <v>1420</v>
      </c>
      <c r="H116" t="s">
        <v>592</v>
      </c>
      <c r="I116" t="s">
        <v>1421</v>
      </c>
      <c r="J116" t="s">
        <v>1422</v>
      </c>
      <c r="M116" s="2">
        <v>4</v>
      </c>
      <c r="S116">
        <v>530</v>
      </c>
      <c r="U116" s="2" t="s">
        <v>3</v>
      </c>
    </row>
    <row r="117" spans="1:21" ht="15" hidden="1" customHeight="1" x14ac:dyDescent="0.25">
      <c r="A117" s="3">
        <v>7750</v>
      </c>
      <c r="B117" s="3" t="s">
        <v>1423</v>
      </c>
      <c r="D117" t="s">
        <v>1291</v>
      </c>
      <c r="E117" t="s">
        <v>122</v>
      </c>
      <c r="F117" t="s">
        <v>937</v>
      </c>
      <c r="G117" t="s">
        <v>1424</v>
      </c>
      <c r="H117" t="s">
        <v>413</v>
      </c>
      <c r="I117" t="s">
        <v>1425</v>
      </c>
      <c r="J117" t="s">
        <v>1426</v>
      </c>
      <c r="M117" s="2">
        <v>4</v>
      </c>
      <c r="S117">
        <v>531</v>
      </c>
      <c r="U117" s="2" t="s">
        <v>3</v>
      </c>
    </row>
    <row r="118" spans="1:21" ht="15" hidden="1" customHeight="1" x14ac:dyDescent="0.25">
      <c r="A118" s="3">
        <v>7753</v>
      </c>
      <c r="B118" s="3" t="s">
        <v>1427</v>
      </c>
      <c r="D118" t="s">
        <v>1291</v>
      </c>
      <c r="E118" t="s">
        <v>122</v>
      </c>
      <c r="F118" t="s">
        <v>937</v>
      </c>
      <c r="G118" t="s">
        <v>1428</v>
      </c>
      <c r="H118" t="s">
        <v>592</v>
      </c>
      <c r="I118" t="s">
        <v>1429</v>
      </c>
      <c r="J118" t="s">
        <v>1430</v>
      </c>
      <c r="M118" s="2">
        <v>3</v>
      </c>
      <c r="S118">
        <v>532</v>
      </c>
      <c r="U118" s="2" t="s">
        <v>3</v>
      </c>
    </row>
    <row r="119" spans="1:21" ht="15" hidden="1" customHeight="1" x14ac:dyDescent="0.25">
      <c r="A119" s="3">
        <v>7767</v>
      </c>
      <c r="B119" s="3" t="s">
        <v>1796</v>
      </c>
      <c r="D119" t="s">
        <v>1291</v>
      </c>
      <c r="E119" t="s">
        <v>122</v>
      </c>
      <c r="F119" t="s">
        <v>638</v>
      </c>
      <c r="M119" s="2">
        <v>2</v>
      </c>
      <c r="U119" s="2" t="s">
        <v>3</v>
      </c>
    </row>
    <row r="120" spans="1:21" ht="15" hidden="1" customHeight="1" x14ac:dyDescent="0.25">
      <c r="A120" s="3">
        <v>1487</v>
      </c>
      <c r="B120" s="3" t="s">
        <v>70</v>
      </c>
      <c r="D120" t="s">
        <v>391</v>
      </c>
      <c r="E120" t="s">
        <v>10</v>
      </c>
      <c r="F120" t="s">
        <v>590</v>
      </c>
      <c r="G120" t="s">
        <v>666</v>
      </c>
      <c r="H120" t="s">
        <v>592</v>
      </c>
      <c r="I120" t="s">
        <v>451</v>
      </c>
      <c r="J120" t="s">
        <v>667</v>
      </c>
      <c r="L120" s="2">
        <v>0</v>
      </c>
      <c r="M120" s="2">
        <v>4</v>
      </c>
      <c r="N120" t="s">
        <v>388</v>
      </c>
      <c r="O120" t="s">
        <v>1822</v>
      </c>
      <c r="R120" t="s">
        <v>432</v>
      </c>
      <c r="S120">
        <v>189</v>
      </c>
      <c r="T120" t="s">
        <v>71</v>
      </c>
      <c r="U120" s="2" t="s">
        <v>3</v>
      </c>
    </row>
    <row r="121" spans="1:21" ht="15" hidden="1" customHeight="1" x14ac:dyDescent="0.25">
      <c r="A121" s="3">
        <v>1416</v>
      </c>
      <c r="B121" s="3" t="s">
        <v>22</v>
      </c>
      <c r="D121" t="s">
        <v>391</v>
      </c>
      <c r="E121" t="s">
        <v>10</v>
      </c>
      <c r="F121" t="s">
        <v>590</v>
      </c>
      <c r="G121" t="s">
        <v>763</v>
      </c>
      <c r="H121" t="s">
        <v>592</v>
      </c>
      <c r="I121" t="s">
        <v>764</v>
      </c>
      <c r="J121" t="s">
        <v>765</v>
      </c>
      <c r="L121" s="2">
        <v>0</v>
      </c>
      <c r="M121" s="2">
        <v>3</v>
      </c>
      <c r="N121" t="s">
        <v>388</v>
      </c>
      <c r="O121" t="s">
        <v>1821</v>
      </c>
      <c r="R121" t="s">
        <v>381</v>
      </c>
      <c r="S121">
        <v>631</v>
      </c>
      <c r="T121" t="s">
        <v>23</v>
      </c>
      <c r="U121" s="2" t="s">
        <v>3</v>
      </c>
    </row>
    <row r="122" spans="1:21" ht="15" hidden="1" customHeight="1" x14ac:dyDescent="0.25">
      <c r="A122" s="3">
        <v>1500</v>
      </c>
      <c r="B122" s="3" t="s">
        <v>80</v>
      </c>
      <c r="D122" t="s">
        <v>391</v>
      </c>
      <c r="E122" t="s">
        <v>10</v>
      </c>
      <c r="F122" t="s">
        <v>590</v>
      </c>
      <c r="G122" t="s">
        <v>868</v>
      </c>
      <c r="H122" t="s">
        <v>869</v>
      </c>
      <c r="I122" t="s">
        <v>431</v>
      </c>
      <c r="J122" t="s">
        <v>870</v>
      </c>
      <c r="L122" s="2">
        <v>0</v>
      </c>
      <c r="M122" s="2">
        <v>5</v>
      </c>
      <c r="N122" t="s">
        <v>388</v>
      </c>
      <c r="O122" t="s">
        <v>1821</v>
      </c>
      <c r="R122" t="s">
        <v>381</v>
      </c>
      <c r="S122">
        <v>500</v>
      </c>
      <c r="T122" t="s">
        <v>81</v>
      </c>
      <c r="U122" s="2" t="s">
        <v>3</v>
      </c>
    </row>
    <row r="123" spans="1:21" ht="15" hidden="1" customHeight="1" x14ac:dyDescent="0.25">
      <c r="A123" s="3">
        <v>19778</v>
      </c>
      <c r="B123" s="3" t="s">
        <v>202</v>
      </c>
      <c r="D123" t="s">
        <v>391</v>
      </c>
      <c r="E123" t="s">
        <v>10</v>
      </c>
      <c r="F123" t="s">
        <v>590</v>
      </c>
      <c r="G123" t="s">
        <v>874</v>
      </c>
      <c r="H123" t="s">
        <v>875</v>
      </c>
      <c r="I123" t="s">
        <v>431</v>
      </c>
      <c r="J123" t="s">
        <v>876</v>
      </c>
      <c r="L123" s="2">
        <v>0</v>
      </c>
      <c r="M123" s="2">
        <v>10</v>
      </c>
      <c r="N123" t="s">
        <v>388</v>
      </c>
      <c r="O123" t="s">
        <v>1821</v>
      </c>
      <c r="R123" t="s">
        <v>381</v>
      </c>
      <c r="S123">
        <v>303</v>
      </c>
      <c r="T123" t="s">
        <v>203</v>
      </c>
      <c r="U123" s="2" t="s">
        <v>3</v>
      </c>
    </row>
    <row r="124" spans="1:21" ht="15" hidden="1" customHeight="1" x14ac:dyDescent="0.25">
      <c r="A124" s="3">
        <v>1424</v>
      </c>
      <c r="B124" s="3" t="s">
        <v>38</v>
      </c>
      <c r="D124" t="s">
        <v>391</v>
      </c>
      <c r="E124" t="s">
        <v>10</v>
      </c>
      <c r="F124" t="s">
        <v>590</v>
      </c>
      <c r="G124" t="s">
        <v>929</v>
      </c>
      <c r="H124" t="s">
        <v>592</v>
      </c>
      <c r="I124" t="s">
        <v>518</v>
      </c>
      <c r="J124" t="s">
        <v>930</v>
      </c>
      <c r="L124" s="2">
        <v>0</v>
      </c>
      <c r="M124" s="2">
        <v>3</v>
      </c>
      <c r="N124" t="s">
        <v>388</v>
      </c>
      <c r="O124" t="s">
        <v>1821</v>
      </c>
      <c r="R124" t="s">
        <v>381</v>
      </c>
      <c r="S124">
        <v>424</v>
      </c>
      <c r="T124" t="s">
        <v>39</v>
      </c>
      <c r="U124" s="2" t="s">
        <v>3</v>
      </c>
    </row>
    <row r="125" spans="1:21" ht="15" hidden="1" customHeight="1" x14ac:dyDescent="0.25">
      <c r="A125" s="3">
        <v>1427</v>
      </c>
      <c r="B125" s="3" t="s">
        <v>40</v>
      </c>
      <c r="D125" t="s">
        <v>391</v>
      </c>
      <c r="E125" t="s">
        <v>10</v>
      </c>
      <c r="F125" t="s">
        <v>590</v>
      </c>
      <c r="G125" t="s">
        <v>971</v>
      </c>
      <c r="H125" t="s">
        <v>592</v>
      </c>
      <c r="I125" t="s">
        <v>972</v>
      </c>
      <c r="J125" t="s">
        <v>973</v>
      </c>
      <c r="L125" s="2">
        <v>0</v>
      </c>
      <c r="M125" s="2">
        <v>3</v>
      </c>
      <c r="N125" t="s">
        <v>388</v>
      </c>
      <c r="O125" t="s">
        <v>1821</v>
      </c>
      <c r="R125" t="s">
        <v>381</v>
      </c>
      <c r="S125">
        <v>624</v>
      </c>
      <c r="T125" t="s">
        <v>41</v>
      </c>
      <c r="U125" s="2" t="s">
        <v>3</v>
      </c>
    </row>
    <row r="126" spans="1:21" ht="15" hidden="1" customHeight="1" x14ac:dyDescent="0.25">
      <c r="A126" s="3">
        <v>1403</v>
      </c>
      <c r="B126" s="3" t="s">
        <v>11</v>
      </c>
      <c r="D126" t="s">
        <v>391</v>
      </c>
      <c r="E126" t="s">
        <v>10</v>
      </c>
      <c r="F126" t="s">
        <v>590</v>
      </c>
      <c r="G126" t="s">
        <v>1040</v>
      </c>
      <c r="H126" t="s">
        <v>592</v>
      </c>
      <c r="I126" t="s">
        <v>539</v>
      </c>
      <c r="J126" t="s">
        <v>1041</v>
      </c>
      <c r="L126" s="2">
        <v>0</v>
      </c>
      <c r="M126" s="2">
        <v>3</v>
      </c>
      <c r="N126" t="s">
        <v>388</v>
      </c>
      <c r="O126" t="s">
        <v>1822</v>
      </c>
      <c r="R126" t="s">
        <v>432</v>
      </c>
      <c r="S126">
        <v>407</v>
      </c>
      <c r="T126" t="s">
        <v>12</v>
      </c>
      <c r="U126" s="2" t="s">
        <v>3</v>
      </c>
    </row>
    <row r="127" spans="1:21" ht="15" hidden="1" customHeight="1" x14ac:dyDescent="0.25">
      <c r="A127" s="3">
        <v>1420</v>
      </c>
      <c r="B127" s="3" t="s">
        <v>30</v>
      </c>
      <c r="D127" t="s">
        <v>391</v>
      </c>
      <c r="E127" t="s">
        <v>10</v>
      </c>
      <c r="F127" t="s">
        <v>590</v>
      </c>
      <c r="G127" t="s">
        <v>1365</v>
      </c>
      <c r="H127" t="s">
        <v>592</v>
      </c>
      <c r="I127" t="s">
        <v>544</v>
      </c>
      <c r="J127" t="s">
        <v>1393</v>
      </c>
      <c r="L127" s="2">
        <v>0</v>
      </c>
      <c r="M127" s="2">
        <v>5</v>
      </c>
      <c r="N127" t="s">
        <v>388</v>
      </c>
      <c r="O127" t="s">
        <v>1822</v>
      </c>
      <c r="R127" t="s">
        <v>432</v>
      </c>
      <c r="S127">
        <v>614</v>
      </c>
      <c r="T127" t="s">
        <v>31</v>
      </c>
      <c r="U127" s="2" t="s">
        <v>3</v>
      </c>
    </row>
    <row r="128" spans="1:21" ht="15" hidden="1" customHeight="1" x14ac:dyDescent="0.25">
      <c r="A128" s="3">
        <v>1497</v>
      </c>
      <c r="B128" s="3" t="s">
        <v>78</v>
      </c>
      <c r="D128" t="s">
        <v>1200</v>
      </c>
      <c r="E128" t="s">
        <v>10</v>
      </c>
      <c r="F128" t="s">
        <v>590</v>
      </c>
      <c r="G128" t="s">
        <v>1065</v>
      </c>
      <c r="H128" t="s">
        <v>592</v>
      </c>
      <c r="I128" t="s">
        <v>1066</v>
      </c>
      <c r="J128" t="s">
        <v>1067</v>
      </c>
      <c r="L128" s="2">
        <v>0</v>
      </c>
      <c r="M128" s="2">
        <v>3</v>
      </c>
      <c r="N128" t="s">
        <v>389</v>
      </c>
      <c r="O128" t="s">
        <v>1821</v>
      </c>
      <c r="R128" t="s">
        <v>381</v>
      </c>
      <c r="S128">
        <v>723</v>
      </c>
      <c r="T128" t="s">
        <v>78</v>
      </c>
      <c r="U128" s="2" t="s">
        <v>3</v>
      </c>
    </row>
    <row r="129" spans="1:21" ht="15" hidden="1" customHeight="1" x14ac:dyDescent="0.25">
      <c r="A129" s="3">
        <v>1496</v>
      </c>
      <c r="B129" s="3" t="s">
        <v>76</v>
      </c>
      <c r="D129" t="s">
        <v>391</v>
      </c>
      <c r="E129" t="s">
        <v>10</v>
      </c>
      <c r="F129" t="s">
        <v>590</v>
      </c>
      <c r="G129" t="s">
        <v>1068</v>
      </c>
      <c r="H129" t="s">
        <v>592</v>
      </c>
      <c r="I129" t="s">
        <v>1069</v>
      </c>
      <c r="J129" t="s">
        <v>1070</v>
      </c>
      <c r="L129" s="2">
        <v>0</v>
      </c>
      <c r="M129" s="2">
        <v>5</v>
      </c>
      <c r="N129" t="s">
        <v>388</v>
      </c>
      <c r="O129" t="s">
        <v>1821</v>
      </c>
      <c r="R129" t="s">
        <v>381</v>
      </c>
      <c r="S129">
        <v>724</v>
      </c>
      <c r="T129" t="s">
        <v>77</v>
      </c>
      <c r="U129" s="2" t="s">
        <v>3</v>
      </c>
    </row>
    <row r="130" spans="1:21" ht="15" hidden="1" customHeight="1" x14ac:dyDescent="0.25">
      <c r="A130" s="3">
        <v>19714</v>
      </c>
      <c r="B130" s="3" t="s">
        <v>197</v>
      </c>
      <c r="D130" t="s">
        <v>391</v>
      </c>
      <c r="E130" t="s">
        <v>10</v>
      </c>
      <c r="F130" t="s">
        <v>590</v>
      </c>
      <c r="G130" t="s">
        <v>1071</v>
      </c>
      <c r="H130" t="s">
        <v>592</v>
      </c>
      <c r="I130" t="s">
        <v>1072</v>
      </c>
      <c r="J130" t="s">
        <v>1073</v>
      </c>
      <c r="L130" s="2">
        <v>0</v>
      </c>
      <c r="M130" s="2">
        <v>3</v>
      </c>
      <c r="N130" t="s">
        <v>388</v>
      </c>
      <c r="O130" t="s">
        <v>1821</v>
      </c>
      <c r="R130" t="s">
        <v>381</v>
      </c>
      <c r="S130">
        <v>720</v>
      </c>
      <c r="T130" t="s">
        <v>198</v>
      </c>
      <c r="U130" s="2" t="s">
        <v>3</v>
      </c>
    </row>
    <row r="131" spans="1:21" ht="15" hidden="1" customHeight="1" x14ac:dyDescent="0.25">
      <c r="A131" s="3">
        <v>6000038</v>
      </c>
      <c r="B131" s="3" t="s">
        <v>359</v>
      </c>
      <c r="D131" t="s">
        <v>1831</v>
      </c>
      <c r="E131" t="s">
        <v>6</v>
      </c>
      <c r="F131" t="s">
        <v>616</v>
      </c>
      <c r="G131" t="s">
        <v>619</v>
      </c>
      <c r="H131" t="s">
        <v>592</v>
      </c>
      <c r="I131" t="s">
        <v>620</v>
      </c>
      <c r="J131" t="s">
        <v>621</v>
      </c>
      <c r="K131" s="9">
        <v>44691</v>
      </c>
      <c r="L131" s="7">
        <v>44691</v>
      </c>
      <c r="M131" s="2">
        <v>4</v>
      </c>
      <c r="N131" t="s">
        <v>389</v>
      </c>
      <c r="O131" t="s">
        <v>1821</v>
      </c>
      <c r="R131" t="s">
        <v>381</v>
      </c>
      <c r="S131">
        <v>480</v>
      </c>
      <c r="T131" t="s">
        <v>359</v>
      </c>
      <c r="U131" s="2" t="s">
        <v>3</v>
      </c>
    </row>
    <row r="132" spans="1:21" ht="15" hidden="1" customHeight="1" x14ac:dyDescent="0.25">
      <c r="A132" s="3">
        <v>6000045</v>
      </c>
      <c r="B132" s="3" t="s">
        <v>414</v>
      </c>
      <c r="D132" t="s">
        <v>1831</v>
      </c>
      <c r="E132" t="s">
        <v>6</v>
      </c>
      <c r="F132" t="s">
        <v>616</v>
      </c>
      <c r="G132" t="s">
        <v>1033</v>
      </c>
      <c r="H132" t="s">
        <v>592</v>
      </c>
      <c r="I132" t="s">
        <v>537</v>
      </c>
      <c r="J132" t="s">
        <v>1034</v>
      </c>
      <c r="K132" s="9">
        <v>44789</v>
      </c>
      <c r="M132" s="2">
        <v>4</v>
      </c>
      <c r="O132" t="s">
        <v>1822</v>
      </c>
      <c r="R132" t="s">
        <v>432</v>
      </c>
      <c r="S132">
        <v>482</v>
      </c>
      <c r="T132" t="s">
        <v>414</v>
      </c>
      <c r="U132" s="2" t="s">
        <v>3</v>
      </c>
    </row>
    <row r="133" spans="1:21" ht="15" hidden="1" customHeight="1" x14ac:dyDescent="0.25">
      <c r="A133" s="3">
        <v>600079</v>
      </c>
      <c r="B133" s="3" t="s">
        <v>346</v>
      </c>
      <c r="D133" t="s">
        <v>1831</v>
      </c>
      <c r="E133" t="s">
        <v>6</v>
      </c>
      <c r="F133" t="s">
        <v>616</v>
      </c>
      <c r="G133" t="s">
        <v>1372</v>
      </c>
      <c r="H133" t="s">
        <v>592</v>
      </c>
      <c r="I133" t="s">
        <v>743</v>
      </c>
      <c r="J133" t="s">
        <v>744</v>
      </c>
      <c r="K133" s="9">
        <v>44677</v>
      </c>
      <c r="L133" s="7">
        <v>44677</v>
      </c>
      <c r="M133" s="2">
        <v>4</v>
      </c>
      <c r="N133" t="s">
        <v>388</v>
      </c>
      <c r="O133" t="s">
        <v>1821</v>
      </c>
      <c r="R133" t="s">
        <v>381</v>
      </c>
      <c r="S133">
        <v>471</v>
      </c>
      <c r="T133" t="s">
        <v>346</v>
      </c>
      <c r="U133" s="2" t="s">
        <v>3</v>
      </c>
    </row>
    <row r="134" spans="1:21" ht="15" hidden="1" customHeight="1" x14ac:dyDescent="0.25">
      <c r="A134" s="3">
        <v>54512</v>
      </c>
      <c r="B134" s="3" t="s">
        <v>288</v>
      </c>
      <c r="D134" t="s">
        <v>1831</v>
      </c>
      <c r="E134" t="s">
        <v>6</v>
      </c>
      <c r="F134" t="s">
        <v>616</v>
      </c>
      <c r="G134" t="s">
        <v>790</v>
      </c>
      <c r="H134" t="s">
        <v>592</v>
      </c>
      <c r="I134" t="s">
        <v>485</v>
      </c>
      <c r="J134" t="s">
        <v>791</v>
      </c>
      <c r="K134" s="9">
        <v>44291</v>
      </c>
      <c r="L134" s="7">
        <v>44291</v>
      </c>
      <c r="M134" s="2">
        <v>5</v>
      </c>
      <c r="N134" t="s">
        <v>389</v>
      </c>
      <c r="O134" t="s">
        <v>1822</v>
      </c>
      <c r="R134" t="s">
        <v>432</v>
      </c>
      <c r="S134">
        <v>850</v>
      </c>
      <c r="T134" t="s">
        <v>289</v>
      </c>
      <c r="U134" s="2" t="s">
        <v>3</v>
      </c>
    </row>
    <row r="135" spans="1:21" ht="15" hidden="1" customHeight="1" x14ac:dyDescent="0.25">
      <c r="A135" s="3">
        <v>50550</v>
      </c>
      <c r="B135" s="3" t="s">
        <v>263</v>
      </c>
      <c r="D135" t="s">
        <v>1831</v>
      </c>
      <c r="E135" t="s">
        <v>6</v>
      </c>
      <c r="F135" t="s">
        <v>616</v>
      </c>
      <c r="G135" t="s">
        <v>842</v>
      </c>
      <c r="H135" t="s">
        <v>592</v>
      </c>
      <c r="I135" t="s">
        <v>501</v>
      </c>
      <c r="J135" t="s">
        <v>843</v>
      </c>
      <c r="L135" s="2">
        <v>0</v>
      </c>
      <c r="M135" s="2">
        <v>6</v>
      </c>
      <c r="N135" t="s">
        <v>388</v>
      </c>
      <c r="O135" t="s">
        <v>1822</v>
      </c>
      <c r="R135" t="s">
        <v>432</v>
      </c>
      <c r="S135">
        <v>675</v>
      </c>
      <c r="T135" t="s">
        <v>264</v>
      </c>
      <c r="U135" s="2" t="s">
        <v>3</v>
      </c>
    </row>
    <row r="136" spans="1:21" ht="15" hidden="1" customHeight="1" x14ac:dyDescent="0.25">
      <c r="A136" s="3">
        <v>6000033</v>
      </c>
      <c r="B136" s="3" t="s">
        <v>355</v>
      </c>
      <c r="D136" t="s">
        <v>1831</v>
      </c>
      <c r="E136" t="s">
        <v>6</v>
      </c>
      <c r="F136" t="s">
        <v>616</v>
      </c>
      <c r="G136" t="s">
        <v>1035</v>
      </c>
      <c r="H136" t="s">
        <v>592</v>
      </c>
      <c r="I136" t="s">
        <v>1036</v>
      </c>
      <c r="J136" t="s">
        <v>1037</v>
      </c>
      <c r="K136" s="9">
        <v>44691</v>
      </c>
      <c r="L136" s="7">
        <v>44691</v>
      </c>
      <c r="M136" s="2">
        <v>3</v>
      </c>
      <c r="N136" t="s">
        <v>388</v>
      </c>
      <c r="O136" t="s">
        <v>1821</v>
      </c>
      <c r="R136" t="s">
        <v>381</v>
      </c>
      <c r="S136">
        <v>474</v>
      </c>
      <c r="T136" t="s">
        <v>355</v>
      </c>
      <c r="U136" s="2" t="s">
        <v>3</v>
      </c>
    </row>
    <row r="137" spans="1:21" ht="15" hidden="1" customHeight="1" x14ac:dyDescent="0.25">
      <c r="A137" s="3">
        <v>1435</v>
      </c>
      <c r="B137" s="3" t="s">
        <v>46</v>
      </c>
      <c r="D137" t="s">
        <v>7</v>
      </c>
      <c r="E137" t="s">
        <v>10</v>
      </c>
      <c r="F137" t="s">
        <v>590</v>
      </c>
      <c r="G137" t="s">
        <v>650</v>
      </c>
      <c r="H137" t="s">
        <v>592</v>
      </c>
      <c r="I137" t="s">
        <v>651</v>
      </c>
      <c r="J137" t="s">
        <v>652</v>
      </c>
      <c r="L137" s="2">
        <v>0</v>
      </c>
      <c r="M137" s="2">
        <v>3</v>
      </c>
      <c r="N137" t="s">
        <v>388</v>
      </c>
      <c r="O137" t="s">
        <v>1821</v>
      </c>
      <c r="R137" t="s">
        <v>381</v>
      </c>
      <c r="S137">
        <v>110</v>
      </c>
      <c r="T137" t="s">
        <v>47</v>
      </c>
      <c r="U137" s="2" t="s">
        <v>3</v>
      </c>
    </row>
    <row r="138" spans="1:21" ht="15" hidden="1" customHeight="1" x14ac:dyDescent="0.25">
      <c r="A138" s="3">
        <v>1434</v>
      </c>
      <c r="B138" s="3" t="s">
        <v>44</v>
      </c>
      <c r="D138" t="s">
        <v>391</v>
      </c>
      <c r="E138" t="s">
        <v>10</v>
      </c>
      <c r="F138" t="s">
        <v>590</v>
      </c>
      <c r="G138" t="s">
        <v>655</v>
      </c>
      <c r="H138" t="s">
        <v>592</v>
      </c>
      <c r="I138" t="s">
        <v>447</v>
      </c>
      <c r="J138" t="s">
        <v>656</v>
      </c>
      <c r="L138" s="2">
        <v>0</v>
      </c>
      <c r="M138" s="2">
        <v>5</v>
      </c>
      <c r="N138" t="s">
        <v>388</v>
      </c>
      <c r="O138" t="s">
        <v>1822</v>
      </c>
      <c r="R138" t="s">
        <v>432</v>
      </c>
      <c r="S138">
        <v>609</v>
      </c>
      <c r="T138" t="s">
        <v>45</v>
      </c>
      <c r="U138" s="2" t="s">
        <v>3</v>
      </c>
    </row>
    <row r="139" spans="1:21" ht="15" hidden="1" customHeight="1" x14ac:dyDescent="0.25">
      <c r="A139" s="3">
        <v>19901</v>
      </c>
      <c r="B139" s="3" t="s">
        <v>210</v>
      </c>
      <c r="D139" t="s">
        <v>7</v>
      </c>
      <c r="E139" t="s">
        <v>10</v>
      </c>
      <c r="F139" t="s">
        <v>590</v>
      </c>
      <c r="G139" t="s">
        <v>697</v>
      </c>
      <c r="H139" t="s">
        <v>592</v>
      </c>
      <c r="I139" t="s">
        <v>698</v>
      </c>
      <c r="J139" t="s">
        <v>699</v>
      </c>
      <c r="L139" s="2">
        <v>0</v>
      </c>
      <c r="M139" s="2">
        <v>3</v>
      </c>
      <c r="N139" t="s">
        <v>388</v>
      </c>
      <c r="O139" t="s">
        <v>1821</v>
      </c>
      <c r="R139" t="s">
        <v>381</v>
      </c>
      <c r="S139">
        <v>704</v>
      </c>
      <c r="T139" t="s">
        <v>211</v>
      </c>
      <c r="U139" s="2" t="s">
        <v>3</v>
      </c>
    </row>
    <row r="140" spans="1:21" ht="15" hidden="1" customHeight="1" x14ac:dyDescent="0.25">
      <c r="A140" s="3">
        <v>1432</v>
      </c>
      <c r="B140" s="3" t="s">
        <v>42</v>
      </c>
      <c r="D140" t="s">
        <v>7</v>
      </c>
      <c r="E140" t="s">
        <v>10</v>
      </c>
      <c r="F140" t="s">
        <v>590</v>
      </c>
      <c r="G140" t="s">
        <v>750</v>
      </c>
      <c r="H140" t="s">
        <v>592</v>
      </c>
      <c r="I140" t="s">
        <v>475</v>
      </c>
      <c r="J140" t="s">
        <v>751</v>
      </c>
      <c r="L140" s="2">
        <v>0</v>
      </c>
      <c r="M140" s="2">
        <v>5</v>
      </c>
      <c r="N140" t="s">
        <v>388</v>
      </c>
      <c r="O140" t="s">
        <v>1822</v>
      </c>
      <c r="R140" t="s">
        <v>432</v>
      </c>
      <c r="S140">
        <v>86</v>
      </c>
      <c r="T140" t="s">
        <v>43</v>
      </c>
      <c r="U140" s="2" t="s">
        <v>3</v>
      </c>
    </row>
    <row r="141" spans="1:21" ht="15" hidden="1" customHeight="1" x14ac:dyDescent="0.25">
      <c r="A141" s="3">
        <v>1409</v>
      </c>
      <c r="B141" s="3" t="s">
        <v>19</v>
      </c>
      <c r="D141" t="s">
        <v>7</v>
      </c>
      <c r="E141" t="s">
        <v>10</v>
      </c>
      <c r="F141" t="s">
        <v>590</v>
      </c>
      <c r="G141" t="s">
        <v>877</v>
      </c>
      <c r="H141" t="s">
        <v>878</v>
      </c>
      <c r="I141" t="s">
        <v>431</v>
      </c>
      <c r="J141" t="s">
        <v>879</v>
      </c>
      <c r="L141" s="2">
        <v>0</v>
      </c>
      <c r="M141" s="2">
        <v>7</v>
      </c>
      <c r="N141" t="s">
        <v>388</v>
      </c>
      <c r="O141" t="s">
        <v>1822</v>
      </c>
      <c r="R141" t="s">
        <v>428</v>
      </c>
      <c r="S141">
        <v>409</v>
      </c>
      <c r="T141" t="s">
        <v>20</v>
      </c>
      <c r="U141" s="2" t="s">
        <v>3</v>
      </c>
    </row>
    <row r="142" spans="1:21" ht="15" hidden="1" customHeight="1" x14ac:dyDescent="0.25">
      <c r="A142" s="3">
        <v>1400</v>
      </c>
      <c r="B142" s="3" t="s">
        <v>4</v>
      </c>
      <c r="D142" t="s">
        <v>7</v>
      </c>
      <c r="E142" t="s">
        <v>10</v>
      </c>
      <c r="F142" t="s">
        <v>590</v>
      </c>
      <c r="G142" t="s">
        <v>880</v>
      </c>
      <c r="H142" t="s">
        <v>592</v>
      </c>
      <c r="I142" t="s">
        <v>431</v>
      </c>
      <c r="J142" t="s">
        <v>881</v>
      </c>
      <c r="L142" s="2">
        <v>0</v>
      </c>
      <c r="M142" s="2">
        <v>8</v>
      </c>
      <c r="N142" t="s">
        <v>388</v>
      </c>
      <c r="O142" t="s">
        <v>1822</v>
      </c>
      <c r="R142" t="s">
        <v>428</v>
      </c>
      <c r="S142">
        <v>400</v>
      </c>
      <c r="T142" t="s">
        <v>5</v>
      </c>
      <c r="U142" s="2" t="s">
        <v>3</v>
      </c>
    </row>
    <row r="143" spans="1:21" ht="15" hidden="1" customHeight="1" x14ac:dyDescent="0.25">
      <c r="A143" s="3">
        <v>1401</v>
      </c>
      <c r="B143" s="3" t="s">
        <v>568</v>
      </c>
      <c r="D143" t="s">
        <v>7</v>
      </c>
      <c r="E143" t="s">
        <v>10</v>
      </c>
      <c r="F143" t="s">
        <v>590</v>
      </c>
      <c r="G143" t="s">
        <v>1104</v>
      </c>
      <c r="H143" t="s">
        <v>1105</v>
      </c>
      <c r="I143" t="s">
        <v>431</v>
      </c>
      <c r="J143" t="s">
        <v>884</v>
      </c>
      <c r="L143" s="2">
        <v>0</v>
      </c>
      <c r="M143" s="2">
        <v>4</v>
      </c>
      <c r="N143" t="s">
        <v>388</v>
      </c>
      <c r="O143" t="s">
        <v>1822</v>
      </c>
      <c r="R143" t="s">
        <v>428</v>
      </c>
      <c r="S143">
        <v>31</v>
      </c>
      <c r="U143" s="2" t="s">
        <v>3</v>
      </c>
    </row>
    <row r="144" spans="1:21" ht="15" hidden="1" customHeight="1" x14ac:dyDescent="0.25">
      <c r="A144" s="3">
        <v>10226</v>
      </c>
      <c r="B144" s="3" t="s">
        <v>134</v>
      </c>
      <c r="D144" t="s">
        <v>7</v>
      </c>
      <c r="E144" t="s">
        <v>10</v>
      </c>
      <c r="F144" t="s">
        <v>590</v>
      </c>
      <c r="G144" t="s">
        <v>1374</v>
      </c>
      <c r="H144" t="s">
        <v>592</v>
      </c>
      <c r="I144" t="s">
        <v>431</v>
      </c>
      <c r="J144" t="s">
        <v>885</v>
      </c>
      <c r="L144" s="2">
        <v>0</v>
      </c>
      <c r="M144" s="2">
        <v>5</v>
      </c>
      <c r="N144" t="s">
        <v>388</v>
      </c>
      <c r="O144" t="s">
        <v>1822</v>
      </c>
      <c r="R144" t="s">
        <v>428</v>
      </c>
      <c r="S144">
        <v>801</v>
      </c>
      <c r="T144" t="s">
        <v>135</v>
      </c>
      <c r="U144" s="2" t="s">
        <v>3</v>
      </c>
    </row>
    <row r="145" spans="1:21" ht="15" hidden="1" customHeight="1" x14ac:dyDescent="0.25">
      <c r="A145" s="3">
        <v>1444</v>
      </c>
      <c r="B145" s="3" t="s">
        <v>55</v>
      </c>
      <c r="D145" t="s">
        <v>7</v>
      </c>
      <c r="E145" t="s">
        <v>10</v>
      </c>
      <c r="F145" t="s">
        <v>590</v>
      </c>
      <c r="G145" t="s">
        <v>988</v>
      </c>
      <c r="H145" t="s">
        <v>592</v>
      </c>
      <c r="I145" t="s">
        <v>989</v>
      </c>
      <c r="J145" t="s">
        <v>990</v>
      </c>
      <c r="L145" s="2">
        <v>0</v>
      </c>
      <c r="M145" s="2">
        <v>4</v>
      </c>
      <c r="N145" t="s">
        <v>388</v>
      </c>
      <c r="O145" t="s">
        <v>1821</v>
      </c>
      <c r="R145" t="s">
        <v>381</v>
      </c>
      <c r="S145">
        <v>157</v>
      </c>
      <c r="T145" t="s">
        <v>56</v>
      </c>
      <c r="U145" s="2" t="s">
        <v>3</v>
      </c>
    </row>
    <row r="146" spans="1:21" ht="15" hidden="1" customHeight="1" x14ac:dyDescent="0.25">
      <c r="A146" s="3">
        <v>1414</v>
      </c>
      <c r="B146" s="3" t="s">
        <v>21</v>
      </c>
      <c r="D146" t="s">
        <v>7</v>
      </c>
      <c r="E146" t="s">
        <v>10</v>
      </c>
      <c r="F146" t="s">
        <v>590</v>
      </c>
      <c r="G146" t="s">
        <v>1088</v>
      </c>
      <c r="H146" t="s">
        <v>592</v>
      </c>
      <c r="I146" t="s">
        <v>552</v>
      </c>
      <c r="J146" t="s">
        <v>1089</v>
      </c>
      <c r="L146" s="2">
        <v>0</v>
      </c>
      <c r="M146" s="2">
        <v>5</v>
      </c>
      <c r="N146" t="s">
        <v>388</v>
      </c>
      <c r="O146" t="s">
        <v>1822</v>
      </c>
      <c r="R146" t="s">
        <v>432</v>
      </c>
      <c r="S146">
        <v>13</v>
      </c>
      <c r="T146" t="s">
        <v>21</v>
      </c>
      <c r="U146" s="2" t="s">
        <v>3</v>
      </c>
    </row>
    <row r="147" spans="1:21" ht="15" hidden="1" customHeight="1" x14ac:dyDescent="0.25">
      <c r="A147" s="3">
        <v>1525</v>
      </c>
      <c r="B147" s="3" t="s">
        <v>1449</v>
      </c>
      <c r="D147" t="s">
        <v>7</v>
      </c>
      <c r="E147" t="s">
        <v>10</v>
      </c>
      <c r="F147" t="s">
        <v>590</v>
      </c>
      <c r="K147"/>
      <c r="L147"/>
      <c r="M147" s="2">
        <v>3</v>
      </c>
      <c r="S147">
        <v>108</v>
      </c>
      <c r="U147" s="2" t="s">
        <v>3</v>
      </c>
    </row>
    <row r="148" spans="1:21" ht="15" hidden="1" customHeight="1" x14ac:dyDescent="0.25">
      <c r="A148" s="3">
        <v>6000031</v>
      </c>
      <c r="B148" s="3" t="s">
        <v>354</v>
      </c>
      <c r="D148" t="s">
        <v>1120</v>
      </c>
      <c r="E148" t="s">
        <v>251</v>
      </c>
      <c r="F148" t="s">
        <v>603</v>
      </c>
      <c r="G148" t="s">
        <v>604</v>
      </c>
      <c r="H148" t="s">
        <v>592</v>
      </c>
      <c r="I148" t="s">
        <v>605</v>
      </c>
      <c r="J148" t="s">
        <v>606</v>
      </c>
      <c r="L148" s="2">
        <v>0</v>
      </c>
      <c r="M148" s="8">
        <v>4</v>
      </c>
      <c r="N148" t="s">
        <v>388</v>
      </c>
      <c r="O148" t="s">
        <v>1821</v>
      </c>
      <c r="R148" t="s">
        <v>381</v>
      </c>
      <c r="S148">
        <v>880</v>
      </c>
      <c r="T148" t="s">
        <v>354</v>
      </c>
      <c r="U148" s="2" t="s">
        <v>3</v>
      </c>
    </row>
    <row r="149" spans="1:21" ht="15" hidden="1" customHeight="1" x14ac:dyDescent="0.25">
      <c r="A149" s="3">
        <v>61019</v>
      </c>
      <c r="B149" s="3" t="s">
        <v>309</v>
      </c>
      <c r="D149" t="s">
        <v>1120</v>
      </c>
      <c r="E149" t="s">
        <v>251</v>
      </c>
      <c r="F149" t="s">
        <v>603</v>
      </c>
      <c r="G149" t="s">
        <v>624</v>
      </c>
      <c r="H149" t="s">
        <v>592</v>
      </c>
      <c r="I149" t="s">
        <v>439</v>
      </c>
      <c r="J149" t="s">
        <v>625</v>
      </c>
      <c r="K149" s="9">
        <v>44298</v>
      </c>
      <c r="L149" s="7">
        <v>44298</v>
      </c>
      <c r="M149" s="2">
        <v>4</v>
      </c>
      <c r="N149" t="s">
        <v>388</v>
      </c>
      <c r="O149" t="s">
        <v>1822</v>
      </c>
      <c r="R149" t="s">
        <v>432</v>
      </c>
      <c r="S149">
        <v>842</v>
      </c>
      <c r="T149" t="s">
        <v>309</v>
      </c>
      <c r="U149" s="2" t="s">
        <v>3</v>
      </c>
    </row>
    <row r="150" spans="1:21" ht="15" hidden="1" customHeight="1" x14ac:dyDescent="0.25">
      <c r="A150" s="3">
        <v>60495</v>
      </c>
      <c r="B150" s="3" t="s">
        <v>296</v>
      </c>
      <c r="D150" t="s">
        <v>1120</v>
      </c>
      <c r="E150" t="s">
        <v>251</v>
      </c>
      <c r="F150" t="s">
        <v>603</v>
      </c>
      <c r="G150" t="s">
        <v>626</v>
      </c>
      <c r="H150" t="s">
        <v>592</v>
      </c>
      <c r="I150" t="s">
        <v>440</v>
      </c>
      <c r="J150">
        <v>0</v>
      </c>
      <c r="K150" s="9">
        <v>44295</v>
      </c>
      <c r="L150" s="7">
        <v>44295</v>
      </c>
      <c r="M150" s="2">
        <v>4</v>
      </c>
      <c r="N150" t="s">
        <v>388</v>
      </c>
      <c r="O150" t="s">
        <v>1822</v>
      </c>
      <c r="R150" t="s">
        <v>432</v>
      </c>
      <c r="S150">
        <v>851</v>
      </c>
      <c r="T150" t="s">
        <v>296</v>
      </c>
      <c r="U150" s="2" t="s">
        <v>3</v>
      </c>
    </row>
    <row r="151" spans="1:21" ht="15" hidden="1" customHeight="1" x14ac:dyDescent="0.25">
      <c r="A151" s="3">
        <v>600046</v>
      </c>
      <c r="B151" s="3" t="s">
        <v>331</v>
      </c>
      <c r="D151" t="s">
        <v>1120</v>
      </c>
      <c r="E151" t="s">
        <v>251</v>
      </c>
      <c r="F151" t="s">
        <v>616</v>
      </c>
      <c r="G151" t="s">
        <v>707</v>
      </c>
      <c r="H151" t="s">
        <v>592</v>
      </c>
      <c r="I151" t="s">
        <v>464</v>
      </c>
      <c r="J151" t="s">
        <v>708</v>
      </c>
      <c r="K151" s="9">
        <v>44529</v>
      </c>
      <c r="L151" s="7">
        <v>44529</v>
      </c>
      <c r="M151" s="8">
        <v>5</v>
      </c>
      <c r="N151" t="s">
        <v>388</v>
      </c>
      <c r="O151" t="s">
        <v>1822</v>
      </c>
      <c r="R151" t="s">
        <v>432</v>
      </c>
      <c r="S151">
        <v>410</v>
      </c>
      <c r="T151" t="s">
        <v>331</v>
      </c>
      <c r="U151" s="2" t="s">
        <v>3</v>
      </c>
    </row>
    <row r="152" spans="1:21" ht="15" hidden="1" customHeight="1" x14ac:dyDescent="0.25">
      <c r="A152" s="3">
        <v>600056</v>
      </c>
      <c r="B152" s="3" t="s">
        <v>336</v>
      </c>
      <c r="D152" t="s">
        <v>1120</v>
      </c>
      <c r="E152" t="s">
        <v>251</v>
      </c>
      <c r="F152" t="s">
        <v>616</v>
      </c>
      <c r="G152" t="s">
        <v>756</v>
      </c>
      <c r="H152" t="s">
        <v>592</v>
      </c>
      <c r="I152" t="s">
        <v>478</v>
      </c>
      <c r="J152" t="s">
        <v>757</v>
      </c>
      <c r="K152" s="9">
        <v>44549</v>
      </c>
      <c r="L152" s="7">
        <v>44549</v>
      </c>
      <c r="M152" s="2">
        <v>4</v>
      </c>
      <c r="N152" t="s">
        <v>388</v>
      </c>
      <c r="O152" t="s">
        <v>1822</v>
      </c>
      <c r="R152" t="s">
        <v>432</v>
      </c>
      <c r="S152">
        <v>884</v>
      </c>
      <c r="T152" t="s">
        <v>337</v>
      </c>
      <c r="U152" s="2" t="s">
        <v>3</v>
      </c>
    </row>
    <row r="153" spans="1:21" ht="15" hidden="1" customHeight="1" x14ac:dyDescent="0.25">
      <c r="A153" s="3">
        <v>600047</v>
      </c>
      <c r="B153" s="3" t="s">
        <v>332</v>
      </c>
      <c r="D153" t="s">
        <v>1120</v>
      </c>
      <c r="E153" t="s">
        <v>251</v>
      </c>
      <c r="F153" t="s">
        <v>616</v>
      </c>
      <c r="G153" t="s">
        <v>802</v>
      </c>
      <c r="H153" t="s">
        <v>592</v>
      </c>
      <c r="I153" t="s">
        <v>491</v>
      </c>
      <c r="J153" t="s">
        <v>803</v>
      </c>
      <c r="K153" s="9">
        <v>44529</v>
      </c>
      <c r="L153" s="7">
        <v>44529</v>
      </c>
      <c r="M153" s="2">
        <v>4</v>
      </c>
      <c r="N153" t="s">
        <v>388</v>
      </c>
      <c r="O153" t="s">
        <v>1822</v>
      </c>
      <c r="R153" t="s">
        <v>432</v>
      </c>
      <c r="S153">
        <v>885</v>
      </c>
      <c r="T153" t="s">
        <v>333</v>
      </c>
      <c r="U153" s="2" t="s">
        <v>3</v>
      </c>
    </row>
    <row r="154" spans="1:21" ht="15" hidden="1" customHeight="1" x14ac:dyDescent="0.25">
      <c r="A154" s="3">
        <v>60498</v>
      </c>
      <c r="B154" s="3" t="s">
        <v>297</v>
      </c>
      <c r="D154" t="s">
        <v>1120</v>
      </c>
      <c r="E154" t="s">
        <v>251</v>
      </c>
      <c r="F154" t="s">
        <v>603</v>
      </c>
      <c r="G154" t="s">
        <v>909</v>
      </c>
      <c r="H154" t="s">
        <v>910</v>
      </c>
      <c r="I154" t="s">
        <v>513</v>
      </c>
      <c r="J154" t="s">
        <v>911</v>
      </c>
      <c r="K154" s="9">
        <v>44298</v>
      </c>
      <c r="L154" s="7">
        <v>44298</v>
      </c>
      <c r="M154" s="2">
        <v>4</v>
      </c>
      <c r="N154" t="s">
        <v>388</v>
      </c>
      <c r="O154" t="s">
        <v>1822</v>
      </c>
      <c r="R154" t="s">
        <v>432</v>
      </c>
      <c r="S154">
        <v>843</v>
      </c>
      <c r="T154" t="s">
        <v>297</v>
      </c>
      <c r="U154" s="2" t="s">
        <v>3</v>
      </c>
    </row>
    <row r="155" spans="1:21" ht="15" hidden="1" customHeight="1" x14ac:dyDescent="0.25">
      <c r="A155" s="3">
        <v>50733</v>
      </c>
      <c r="B155" s="3" t="s">
        <v>269</v>
      </c>
      <c r="D155" t="s">
        <v>1120</v>
      </c>
      <c r="E155" t="s">
        <v>251</v>
      </c>
      <c r="F155" t="s">
        <v>616</v>
      </c>
      <c r="G155" t="s">
        <v>997</v>
      </c>
      <c r="H155" t="s">
        <v>592</v>
      </c>
      <c r="I155" t="s">
        <v>532</v>
      </c>
      <c r="J155" t="s">
        <v>998</v>
      </c>
      <c r="L155" s="2">
        <v>0</v>
      </c>
      <c r="M155" s="2">
        <v>4</v>
      </c>
      <c r="N155" t="s">
        <v>388</v>
      </c>
      <c r="O155" t="s">
        <v>1822</v>
      </c>
      <c r="R155" t="s">
        <v>432</v>
      </c>
      <c r="S155">
        <v>301</v>
      </c>
      <c r="T155" t="s">
        <v>270</v>
      </c>
      <c r="U155" s="2" t="s">
        <v>3</v>
      </c>
    </row>
    <row r="156" spans="1:21" ht="15" hidden="1" customHeight="1" x14ac:dyDescent="0.25">
      <c r="A156" s="3">
        <v>600057</v>
      </c>
      <c r="B156" s="3" t="s">
        <v>338</v>
      </c>
      <c r="D156" t="s">
        <v>1120</v>
      </c>
      <c r="E156" t="s">
        <v>251</v>
      </c>
      <c r="F156" t="s">
        <v>616</v>
      </c>
      <c r="G156" t="s">
        <v>1387</v>
      </c>
      <c r="H156" t="s">
        <v>592</v>
      </c>
      <c r="I156" t="s">
        <v>545</v>
      </c>
      <c r="J156" t="s">
        <v>1056</v>
      </c>
      <c r="L156" s="2">
        <v>0</v>
      </c>
      <c r="M156" s="8">
        <v>4</v>
      </c>
      <c r="N156" t="s">
        <v>388</v>
      </c>
      <c r="O156" t="s">
        <v>1822</v>
      </c>
      <c r="R156" t="s">
        <v>432</v>
      </c>
      <c r="S156">
        <v>888</v>
      </c>
      <c r="T156" t="s">
        <v>339</v>
      </c>
      <c r="U156" s="2" t="s">
        <v>3</v>
      </c>
    </row>
    <row r="157" spans="1:21" ht="15" hidden="1" customHeight="1" x14ac:dyDescent="0.25">
      <c r="A157" s="3">
        <v>60007</v>
      </c>
      <c r="B157" s="3" t="s">
        <v>290</v>
      </c>
      <c r="D157" t="s">
        <v>1120</v>
      </c>
      <c r="E157" t="s">
        <v>251</v>
      </c>
      <c r="F157" t="s">
        <v>603</v>
      </c>
      <c r="G157" t="s">
        <v>1097</v>
      </c>
      <c r="H157" t="s">
        <v>592</v>
      </c>
      <c r="I157" t="s">
        <v>555</v>
      </c>
      <c r="J157" t="s">
        <v>1098</v>
      </c>
      <c r="L157" s="2">
        <v>0</v>
      </c>
      <c r="M157" s="2">
        <v>6</v>
      </c>
      <c r="N157" t="s">
        <v>388</v>
      </c>
      <c r="O157" t="s">
        <v>1822</v>
      </c>
      <c r="R157" t="s">
        <v>428</v>
      </c>
      <c r="S157">
        <v>292</v>
      </c>
      <c r="T157" t="s">
        <v>291</v>
      </c>
      <c r="U157" s="2" t="s">
        <v>3</v>
      </c>
    </row>
    <row r="158" spans="1:21" ht="15" hidden="1" customHeight="1" x14ac:dyDescent="0.25">
      <c r="A158" s="3">
        <v>60494</v>
      </c>
      <c r="B158" s="3" t="s">
        <v>295</v>
      </c>
      <c r="D158" t="s">
        <v>1120</v>
      </c>
      <c r="E158" t="s">
        <v>251</v>
      </c>
      <c r="F158" t="s">
        <v>603</v>
      </c>
      <c r="G158" t="s">
        <v>1099</v>
      </c>
      <c r="H158" t="s">
        <v>1100</v>
      </c>
      <c r="I158" t="s">
        <v>555</v>
      </c>
      <c r="J158">
        <v>0</v>
      </c>
      <c r="K158" s="9">
        <v>44291</v>
      </c>
      <c r="L158" s="7">
        <v>44291</v>
      </c>
      <c r="M158" s="2">
        <v>4</v>
      </c>
      <c r="N158" t="s">
        <v>388</v>
      </c>
      <c r="O158" t="s">
        <v>1822</v>
      </c>
      <c r="R158" t="s">
        <v>428</v>
      </c>
      <c r="S158">
        <v>853</v>
      </c>
      <c r="T158" t="s">
        <v>295</v>
      </c>
      <c r="U158" s="2" t="s">
        <v>3</v>
      </c>
    </row>
    <row r="159" spans="1:21" ht="15" hidden="1" customHeight="1" x14ac:dyDescent="0.25">
      <c r="A159" s="3">
        <v>7747</v>
      </c>
      <c r="B159" s="3" t="s">
        <v>110</v>
      </c>
      <c r="D159" t="s">
        <v>401</v>
      </c>
      <c r="E159" t="s">
        <v>122</v>
      </c>
      <c r="F159" t="s">
        <v>937</v>
      </c>
      <c r="G159" t="s">
        <v>938</v>
      </c>
      <c r="H159" t="s">
        <v>939</v>
      </c>
      <c r="I159" t="s">
        <v>519</v>
      </c>
      <c r="J159" t="s">
        <v>940</v>
      </c>
      <c r="L159" s="2">
        <v>0</v>
      </c>
      <c r="M159" s="2">
        <v>3</v>
      </c>
      <c r="N159" t="s">
        <v>388</v>
      </c>
      <c r="O159" t="s">
        <v>1822</v>
      </c>
      <c r="R159" t="s">
        <v>428</v>
      </c>
      <c r="S159">
        <v>825</v>
      </c>
      <c r="T159" t="s">
        <v>111</v>
      </c>
      <c r="U159" s="2" t="s">
        <v>3</v>
      </c>
    </row>
    <row r="160" spans="1:21" ht="15" hidden="1" customHeight="1" x14ac:dyDescent="0.25">
      <c r="A160" s="3">
        <v>7800</v>
      </c>
      <c r="B160" s="3" t="s">
        <v>371</v>
      </c>
      <c r="D160" t="s">
        <v>401</v>
      </c>
      <c r="E160" t="s">
        <v>122</v>
      </c>
      <c r="F160" t="s">
        <v>937</v>
      </c>
      <c r="G160" t="s">
        <v>941</v>
      </c>
      <c r="H160" t="s">
        <v>942</v>
      </c>
      <c r="I160" t="s">
        <v>519</v>
      </c>
      <c r="J160" t="s">
        <v>943</v>
      </c>
      <c r="L160" s="2">
        <v>0</v>
      </c>
      <c r="M160" s="2">
        <v>4</v>
      </c>
      <c r="N160" t="s">
        <v>388</v>
      </c>
      <c r="O160" t="s">
        <v>1822</v>
      </c>
      <c r="R160" t="s">
        <v>428</v>
      </c>
      <c r="S160">
        <v>722</v>
      </c>
      <c r="T160" t="s">
        <v>115</v>
      </c>
      <c r="U160" s="2" t="s">
        <v>3</v>
      </c>
    </row>
    <row r="161" spans="1:22" ht="15" hidden="1" customHeight="1" x14ac:dyDescent="0.25">
      <c r="A161" s="3">
        <v>7748</v>
      </c>
      <c r="B161" s="3" t="s">
        <v>113</v>
      </c>
      <c r="D161" t="s">
        <v>401</v>
      </c>
      <c r="E161" t="s">
        <v>122</v>
      </c>
      <c r="F161" t="s">
        <v>937</v>
      </c>
      <c r="G161" t="s">
        <v>944</v>
      </c>
      <c r="H161" t="s">
        <v>945</v>
      </c>
      <c r="I161" t="s">
        <v>519</v>
      </c>
      <c r="J161" t="s">
        <v>946</v>
      </c>
      <c r="L161" s="2">
        <v>0</v>
      </c>
      <c r="M161" s="2">
        <v>5</v>
      </c>
      <c r="N161" t="s">
        <v>388</v>
      </c>
      <c r="O161" t="s">
        <v>1822</v>
      </c>
      <c r="R161" t="s">
        <v>428</v>
      </c>
      <c r="S161">
        <v>828</v>
      </c>
      <c r="T161" t="s">
        <v>114</v>
      </c>
      <c r="U161" s="2" t="s">
        <v>3</v>
      </c>
    </row>
    <row r="162" spans="1:22" ht="15" hidden="1" customHeight="1" x14ac:dyDescent="0.25">
      <c r="A162" s="3">
        <v>7900</v>
      </c>
      <c r="B162" s="3" t="s">
        <v>118</v>
      </c>
      <c r="D162" t="s">
        <v>401</v>
      </c>
      <c r="E162" t="s">
        <v>122</v>
      </c>
      <c r="F162" t="s">
        <v>937</v>
      </c>
      <c r="G162" t="s">
        <v>947</v>
      </c>
      <c r="H162" t="s">
        <v>948</v>
      </c>
      <c r="I162" t="s">
        <v>519</v>
      </c>
      <c r="J162" t="s">
        <v>949</v>
      </c>
      <c r="L162" s="2">
        <v>0</v>
      </c>
      <c r="M162" s="2">
        <v>7</v>
      </c>
      <c r="N162" t="s">
        <v>388</v>
      </c>
      <c r="O162" t="s">
        <v>1822</v>
      </c>
      <c r="R162" t="s">
        <v>428</v>
      </c>
      <c r="S162">
        <v>126</v>
      </c>
      <c r="T162" t="s">
        <v>119</v>
      </c>
      <c r="U162" s="2" t="s">
        <v>3</v>
      </c>
      <c r="V162" t="s">
        <v>3</v>
      </c>
    </row>
    <row r="163" spans="1:22" ht="15" hidden="1" customHeight="1" x14ac:dyDescent="0.25">
      <c r="A163" s="3">
        <v>71002</v>
      </c>
      <c r="B163" s="3" t="s">
        <v>1439</v>
      </c>
      <c r="D163" t="s">
        <v>401</v>
      </c>
      <c r="E163" t="s">
        <v>122</v>
      </c>
      <c r="F163" t="s">
        <v>937</v>
      </c>
      <c r="G163" t="s">
        <v>947</v>
      </c>
      <c r="H163" t="s">
        <v>950</v>
      </c>
      <c r="I163" t="s">
        <v>519</v>
      </c>
      <c r="J163" t="s">
        <v>949</v>
      </c>
      <c r="L163" s="2">
        <v>0</v>
      </c>
      <c r="M163" s="2">
        <v>7</v>
      </c>
      <c r="N163" t="s">
        <v>388</v>
      </c>
      <c r="O163" t="s">
        <v>1822</v>
      </c>
      <c r="R163" t="s">
        <v>428</v>
      </c>
      <c r="S163">
        <v>845</v>
      </c>
      <c r="T163" t="s">
        <v>312</v>
      </c>
      <c r="U163" s="2" t="s">
        <v>3</v>
      </c>
    </row>
    <row r="164" spans="1:22" ht="15" hidden="1" customHeight="1" x14ac:dyDescent="0.25">
      <c r="A164" s="3">
        <v>7815</v>
      </c>
      <c r="B164" s="3" t="s">
        <v>116</v>
      </c>
      <c r="D164" t="s">
        <v>401</v>
      </c>
      <c r="E164" t="s">
        <v>122</v>
      </c>
      <c r="F164" t="s">
        <v>937</v>
      </c>
      <c r="G164" t="s">
        <v>951</v>
      </c>
      <c r="H164" t="s">
        <v>952</v>
      </c>
      <c r="I164" t="s">
        <v>519</v>
      </c>
      <c r="J164" t="s">
        <v>953</v>
      </c>
      <c r="L164" s="2">
        <v>0</v>
      </c>
      <c r="M164" s="2">
        <v>4</v>
      </c>
      <c r="N164" t="s">
        <v>388</v>
      </c>
      <c r="O164" t="s">
        <v>1822</v>
      </c>
      <c r="R164" t="s">
        <v>428</v>
      </c>
      <c r="S164">
        <v>770</v>
      </c>
      <c r="T164" t="s">
        <v>117</v>
      </c>
      <c r="U164" s="2" t="s">
        <v>3</v>
      </c>
    </row>
    <row r="165" spans="1:22" ht="15" hidden="1" customHeight="1" x14ac:dyDescent="0.25">
      <c r="A165" s="3">
        <v>93826</v>
      </c>
      <c r="B165" s="3" t="s">
        <v>1111</v>
      </c>
      <c r="D165" t="s">
        <v>401</v>
      </c>
      <c r="E165" t="s">
        <v>122</v>
      </c>
      <c r="F165" t="s">
        <v>1152</v>
      </c>
      <c r="G165" t="s">
        <v>1107</v>
      </c>
      <c r="H165" t="s">
        <v>592</v>
      </c>
      <c r="I165" t="s">
        <v>1109</v>
      </c>
      <c r="J165" t="s">
        <v>1108</v>
      </c>
      <c r="K165" s="9">
        <v>44883</v>
      </c>
      <c r="M165" s="2">
        <v>5</v>
      </c>
      <c r="O165" t="s">
        <v>1822</v>
      </c>
      <c r="S165">
        <v>504</v>
      </c>
      <c r="T165" t="s">
        <v>1110</v>
      </c>
      <c r="U165" s="2" t="s">
        <v>3</v>
      </c>
    </row>
    <row r="166" spans="1:22" ht="15" hidden="1" customHeight="1" x14ac:dyDescent="0.25">
      <c r="A166" s="3">
        <v>23001</v>
      </c>
      <c r="B166" s="3" t="s">
        <v>226</v>
      </c>
      <c r="D166" t="s">
        <v>401</v>
      </c>
      <c r="E166" t="s">
        <v>122</v>
      </c>
      <c r="F166" t="s">
        <v>808</v>
      </c>
      <c r="G166" t="s">
        <v>809</v>
      </c>
      <c r="H166" t="s">
        <v>592</v>
      </c>
      <c r="I166" t="s">
        <v>493</v>
      </c>
      <c r="J166" t="s">
        <v>810</v>
      </c>
      <c r="L166" s="2">
        <v>0</v>
      </c>
      <c r="M166" s="2">
        <v>4</v>
      </c>
      <c r="N166" t="s">
        <v>389</v>
      </c>
      <c r="O166" t="s">
        <v>1822</v>
      </c>
      <c r="R166" t="s">
        <v>432</v>
      </c>
      <c r="S166">
        <v>285</v>
      </c>
      <c r="T166" t="s">
        <v>227</v>
      </c>
      <c r="U166" s="2" t="s">
        <v>3</v>
      </c>
    </row>
    <row r="167" spans="1:22" ht="15" hidden="1" customHeight="1" x14ac:dyDescent="0.25">
      <c r="A167" s="3">
        <v>7764</v>
      </c>
      <c r="B167" s="3" t="s">
        <v>1547</v>
      </c>
      <c r="D167" t="s">
        <v>401</v>
      </c>
      <c r="E167" t="s">
        <v>122</v>
      </c>
      <c r="F167" t="s">
        <v>937</v>
      </c>
      <c r="G167" t="s">
        <v>1548</v>
      </c>
      <c r="H167" t="s">
        <v>592</v>
      </c>
      <c r="I167" t="s">
        <v>1549</v>
      </c>
      <c r="J167" t="s">
        <v>1550</v>
      </c>
      <c r="M167" s="2">
        <v>3</v>
      </c>
      <c r="S167">
        <v>960</v>
      </c>
      <c r="T167" t="s">
        <v>1547</v>
      </c>
      <c r="U167" s="2" t="s">
        <v>3</v>
      </c>
    </row>
    <row r="168" spans="1:22" ht="15" hidden="1" customHeight="1" x14ac:dyDescent="0.25">
      <c r="A168" s="3">
        <v>13976</v>
      </c>
      <c r="B168" s="3" t="s">
        <v>1112</v>
      </c>
      <c r="D168" t="s">
        <v>1115</v>
      </c>
      <c r="E168" t="s">
        <v>165</v>
      </c>
      <c r="F168" t="s">
        <v>845</v>
      </c>
      <c r="G168" t="s">
        <v>1150</v>
      </c>
      <c r="H168" t="s">
        <v>1151</v>
      </c>
      <c r="I168" t="s">
        <v>1126</v>
      </c>
      <c r="M168" s="2">
        <v>3</v>
      </c>
      <c r="O168" t="s">
        <v>1822</v>
      </c>
      <c r="R168" t="s">
        <v>428</v>
      </c>
      <c r="S168">
        <v>505</v>
      </c>
      <c r="T168" t="s">
        <v>1113</v>
      </c>
      <c r="U168" s="2" t="s">
        <v>3</v>
      </c>
    </row>
    <row r="169" spans="1:22" ht="15" hidden="1" customHeight="1" x14ac:dyDescent="0.25">
      <c r="A169" s="3">
        <v>12257</v>
      </c>
      <c r="B169" s="3" t="s">
        <v>164</v>
      </c>
      <c r="D169" t="s">
        <v>1115</v>
      </c>
      <c r="E169" t="s">
        <v>165</v>
      </c>
      <c r="F169" t="s">
        <v>845</v>
      </c>
      <c r="G169" t="s">
        <v>1007</v>
      </c>
      <c r="H169" t="s">
        <v>1008</v>
      </c>
      <c r="I169" t="s">
        <v>536</v>
      </c>
      <c r="J169" t="s">
        <v>1009</v>
      </c>
      <c r="K169" s="9">
        <v>44487</v>
      </c>
      <c r="L169" s="7">
        <v>44487</v>
      </c>
      <c r="M169" s="2">
        <v>3</v>
      </c>
      <c r="N169" t="s">
        <v>388</v>
      </c>
      <c r="O169" t="s">
        <v>1822</v>
      </c>
      <c r="R169" t="s">
        <v>428</v>
      </c>
      <c r="S169">
        <v>865</v>
      </c>
      <c r="T169" t="s">
        <v>164</v>
      </c>
      <c r="U169" s="2" t="s">
        <v>3</v>
      </c>
    </row>
    <row r="170" spans="1:22" ht="15" hidden="1" customHeight="1" x14ac:dyDescent="0.25">
      <c r="A170" s="3">
        <v>31381</v>
      </c>
      <c r="B170" s="3" t="s">
        <v>244</v>
      </c>
      <c r="D170" t="s">
        <v>1115</v>
      </c>
      <c r="E170" t="s">
        <v>165</v>
      </c>
      <c r="F170" t="s">
        <v>845</v>
      </c>
      <c r="G170" t="s">
        <v>846</v>
      </c>
      <c r="H170" t="s">
        <v>847</v>
      </c>
      <c r="I170" t="s">
        <v>1147</v>
      </c>
      <c r="J170">
        <v>0</v>
      </c>
      <c r="K170" s="9">
        <v>44298</v>
      </c>
      <c r="L170" s="7">
        <v>44298</v>
      </c>
      <c r="M170" s="2">
        <v>3</v>
      </c>
      <c r="N170" t="s">
        <v>388</v>
      </c>
      <c r="O170" t="s">
        <v>1822</v>
      </c>
      <c r="R170" t="s">
        <v>432</v>
      </c>
      <c r="S170">
        <v>844</v>
      </c>
      <c r="T170" t="s">
        <v>244</v>
      </c>
      <c r="U170" s="2" t="s">
        <v>3</v>
      </c>
    </row>
    <row r="171" spans="1:22" ht="15" hidden="1" customHeight="1" x14ac:dyDescent="0.25">
      <c r="A171" s="3">
        <v>31388</v>
      </c>
      <c r="B171" s="3" t="s">
        <v>247</v>
      </c>
      <c r="D171" t="s">
        <v>1115</v>
      </c>
      <c r="E171" t="s">
        <v>165</v>
      </c>
      <c r="F171" t="s">
        <v>845</v>
      </c>
      <c r="G171" t="s">
        <v>993</v>
      </c>
      <c r="H171" t="s">
        <v>592</v>
      </c>
      <c r="I171" t="s">
        <v>530</v>
      </c>
      <c r="J171" t="s">
        <v>994</v>
      </c>
      <c r="K171" s="9">
        <v>44319</v>
      </c>
      <c r="L171" s="7">
        <v>44319</v>
      </c>
      <c r="M171" s="2">
        <v>4</v>
      </c>
      <c r="N171" t="s">
        <v>388</v>
      </c>
      <c r="O171" t="s">
        <v>1822</v>
      </c>
      <c r="R171" t="s">
        <v>432</v>
      </c>
      <c r="S171">
        <v>852</v>
      </c>
      <c r="T171" t="s">
        <v>248</v>
      </c>
      <c r="U171" s="2" t="s">
        <v>3</v>
      </c>
    </row>
    <row r="172" spans="1:22" ht="15" hidden="1" customHeight="1" x14ac:dyDescent="0.25">
      <c r="A172" s="3">
        <v>13900</v>
      </c>
      <c r="B172" s="3" t="s">
        <v>166</v>
      </c>
      <c r="D172" t="s">
        <v>1115</v>
      </c>
      <c r="E172" t="s">
        <v>165</v>
      </c>
      <c r="F172" t="s">
        <v>845</v>
      </c>
      <c r="G172" t="s">
        <v>1010</v>
      </c>
      <c r="H172" t="s">
        <v>592</v>
      </c>
      <c r="I172" t="s">
        <v>536</v>
      </c>
      <c r="J172" t="s">
        <v>1011</v>
      </c>
      <c r="L172" s="2">
        <v>0</v>
      </c>
      <c r="M172" s="2">
        <v>5</v>
      </c>
      <c r="N172" t="s">
        <v>388</v>
      </c>
      <c r="O172" t="s">
        <v>1822</v>
      </c>
      <c r="R172" t="s">
        <v>428</v>
      </c>
      <c r="S172">
        <v>234</v>
      </c>
      <c r="T172" t="s">
        <v>167</v>
      </c>
      <c r="U172" s="2" t="s">
        <v>3</v>
      </c>
      <c r="V172" t="s">
        <v>3</v>
      </c>
    </row>
    <row r="173" spans="1:22" ht="15" hidden="1" customHeight="1" x14ac:dyDescent="0.25">
      <c r="A173" s="3">
        <v>20085</v>
      </c>
      <c r="B173" s="3" t="s">
        <v>216</v>
      </c>
      <c r="D173" t="s">
        <v>1115</v>
      </c>
      <c r="E173" t="s">
        <v>165</v>
      </c>
      <c r="F173" t="s">
        <v>1057</v>
      </c>
      <c r="G173" t="s">
        <v>1061</v>
      </c>
      <c r="H173" t="s">
        <v>592</v>
      </c>
      <c r="I173" t="s">
        <v>546</v>
      </c>
      <c r="J173" t="s">
        <v>1062</v>
      </c>
      <c r="K173" s="9">
        <v>44161</v>
      </c>
      <c r="L173" s="7">
        <v>44161</v>
      </c>
      <c r="M173" s="2">
        <v>7</v>
      </c>
      <c r="N173" t="s">
        <v>389</v>
      </c>
      <c r="O173" t="s">
        <v>1822</v>
      </c>
      <c r="R173" t="s">
        <v>428</v>
      </c>
      <c r="S173">
        <v>716</v>
      </c>
      <c r="T173" t="s">
        <v>217</v>
      </c>
      <c r="U173" s="2" t="s">
        <v>3</v>
      </c>
    </row>
    <row r="174" spans="1:22" ht="15" hidden="1" customHeight="1" x14ac:dyDescent="0.25">
      <c r="A174" s="3">
        <v>31382</v>
      </c>
      <c r="B174" s="3" t="s">
        <v>245</v>
      </c>
      <c r="D174" t="s">
        <v>1115</v>
      </c>
      <c r="E174" t="s">
        <v>165</v>
      </c>
      <c r="F174" t="s">
        <v>845</v>
      </c>
      <c r="G174" t="s">
        <v>1012</v>
      </c>
      <c r="H174" t="s">
        <v>1013</v>
      </c>
      <c r="I174" t="s">
        <v>536</v>
      </c>
      <c r="J174" t="s">
        <v>1014</v>
      </c>
      <c r="K174" s="9">
        <v>44291</v>
      </c>
      <c r="L174" s="7">
        <v>44291</v>
      </c>
      <c r="M174" s="2">
        <v>5</v>
      </c>
      <c r="N174" t="s">
        <v>388</v>
      </c>
      <c r="O174" t="s">
        <v>1822</v>
      </c>
      <c r="R174" t="s">
        <v>428</v>
      </c>
      <c r="S174">
        <v>846</v>
      </c>
      <c r="T174" t="s">
        <v>246</v>
      </c>
      <c r="U174" s="2" t="s">
        <v>3</v>
      </c>
    </row>
    <row r="175" spans="1:22" ht="15" hidden="1" customHeight="1" x14ac:dyDescent="0.25">
      <c r="A175" s="3">
        <v>13977</v>
      </c>
      <c r="B175" s="3" t="s">
        <v>1407</v>
      </c>
      <c r="D175" t="s">
        <v>1115</v>
      </c>
      <c r="E175" t="s">
        <v>165</v>
      </c>
      <c r="F175" t="s">
        <v>845</v>
      </c>
      <c r="G175" t="s">
        <v>1408</v>
      </c>
      <c r="H175" t="s">
        <v>592</v>
      </c>
      <c r="I175" t="s">
        <v>1409</v>
      </c>
      <c r="J175" t="s">
        <v>1410</v>
      </c>
      <c r="M175" s="2">
        <v>3</v>
      </c>
      <c r="S175">
        <v>535</v>
      </c>
      <c r="U175" s="2" t="s">
        <v>3</v>
      </c>
    </row>
    <row r="176" spans="1:22" ht="15" hidden="1" customHeight="1" x14ac:dyDescent="0.25">
      <c r="A176" s="3">
        <v>60099</v>
      </c>
      <c r="B176" s="3" t="s">
        <v>292</v>
      </c>
      <c r="D176" t="s">
        <v>1356</v>
      </c>
      <c r="E176" t="s">
        <v>251</v>
      </c>
      <c r="F176" t="s">
        <v>603</v>
      </c>
      <c r="G176" t="s">
        <v>916</v>
      </c>
      <c r="H176" t="s">
        <v>917</v>
      </c>
      <c r="I176" t="s">
        <v>516</v>
      </c>
      <c r="J176" t="s">
        <v>918</v>
      </c>
      <c r="K176" s="9">
        <v>44389</v>
      </c>
      <c r="L176" s="7">
        <v>44389</v>
      </c>
      <c r="M176" s="2">
        <v>5</v>
      </c>
      <c r="N176" t="s">
        <v>388</v>
      </c>
      <c r="O176" t="s">
        <v>1822</v>
      </c>
      <c r="R176" t="s">
        <v>428</v>
      </c>
      <c r="S176">
        <v>854</v>
      </c>
      <c r="T176" t="s">
        <v>293</v>
      </c>
      <c r="U176" s="2" t="s">
        <v>3</v>
      </c>
    </row>
    <row r="177" spans="1:22" hidden="1" x14ac:dyDescent="0.25">
      <c r="A177" s="3">
        <v>61045</v>
      </c>
      <c r="B177" s="3" t="s">
        <v>310</v>
      </c>
      <c r="D177" t="s">
        <v>1356</v>
      </c>
      <c r="E177" t="s">
        <v>251</v>
      </c>
      <c r="F177" t="s">
        <v>603</v>
      </c>
      <c r="G177" t="s">
        <v>919</v>
      </c>
      <c r="H177" t="s">
        <v>452</v>
      </c>
      <c r="I177" t="s">
        <v>516</v>
      </c>
      <c r="J177" t="s">
        <v>920</v>
      </c>
      <c r="K177" s="9">
        <v>44319</v>
      </c>
      <c r="L177" s="7">
        <v>44319</v>
      </c>
      <c r="M177" s="2">
        <v>6</v>
      </c>
      <c r="N177" t="s">
        <v>388</v>
      </c>
      <c r="O177" t="s">
        <v>1822</v>
      </c>
      <c r="R177" t="s">
        <v>428</v>
      </c>
      <c r="S177">
        <v>857</v>
      </c>
      <c r="T177" t="s">
        <v>311</v>
      </c>
      <c r="U177" s="2" t="s">
        <v>3</v>
      </c>
    </row>
    <row r="178" spans="1:22" hidden="1" x14ac:dyDescent="0.25">
      <c r="A178" s="3">
        <v>60503</v>
      </c>
      <c r="B178" s="3" t="s">
        <v>304</v>
      </c>
      <c r="D178" t="s">
        <v>400</v>
      </c>
      <c r="E178" t="s">
        <v>251</v>
      </c>
      <c r="F178" t="s">
        <v>603</v>
      </c>
      <c r="G178" t="s">
        <v>717</v>
      </c>
      <c r="H178" t="s">
        <v>718</v>
      </c>
      <c r="I178" t="s">
        <v>467</v>
      </c>
      <c r="J178" t="s">
        <v>719</v>
      </c>
      <c r="K178" s="9">
        <v>44326</v>
      </c>
      <c r="L178" s="7">
        <v>44326</v>
      </c>
      <c r="M178" s="2">
        <v>6</v>
      </c>
      <c r="N178" t="s">
        <v>388</v>
      </c>
      <c r="O178" t="s">
        <v>1822</v>
      </c>
      <c r="R178" t="s">
        <v>432</v>
      </c>
      <c r="S178">
        <v>861</v>
      </c>
      <c r="T178" t="s">
        <v>305</v>
      </c>
      <c r="U178" s="2" t="s">
        <v>3</v>
      </c>
      <c r="V178" t="s">
        <v>3</v>
      </c>
    </row>
    <row r="179" spans="1:22" hidden="1" x14ac:dyDescent="0.25">
      <c r="A179" s="3">
        <v>60501</v>
      </c>
      <c r="B179" s="3" t="s">
        <v>300</v>
      </c>
      <c r="D179" t="s">
        <v>1356</v>
      </c>
      <c r="E179" t="s">
        <v>251</v>
      </c>
      <c r="F179" t="s">
        <v>603</v>
      </c>
      <c r="G179" t="s">
        <v>921</v>
      </c>
      <c r="H179" t="s">
        <v>922</v>
      </c>
      <c r="I179" t="s">
        <v>516</v>
      </c>
      <c r="J179" t="s">
        <v>923</v>
      </c>
      <c r="K179" s="9">
        <v>44361</v>
      </c>
      <c r="L179" s="7">
        <v>44361</v>
      </c>
      <c r="M179" s="2">
        <v>7</v>
      </c>
      <c r="N179" t="s">
        <v>388</v>
      </c>
      <c r="O179" t="s">
        <v>1822</v>
      </c>
      <c r="R179" t="s">
        <v>428</v>
      </c>
      <c r="S179">
        <v>856</v>
      </c>
      <c r="T179" t="s">
        <v>301</v>
      </c>
      <c r="U179" s="2" t="s">
        <v>3</v>
      </c>
    </row>
    <row r="180" spans="1:22" hidden="1" x14ac:dyDescent="0.25">
      <c r="A180" s="3">
        <v>60502</v>
      </c>
      <c r="B180" s="3" t="s">
        <v>302</v>
      </c>
      <c r="D180" t="s">
        <v>1356</v>
      </c>
      <c r="E180" t="s">
        <v>251</v>
      </c>
      <c r="F180" t="s">
        <v>603</v>
      </c>
      <c r="G180" t="s">
        <v>924</v>
      </c>
      <c r="H180" t="s">
        <v>925</v>
      </c>
      <c r="I180" t="s">
        <v>516</v>
      </c>
      <c r="J180" t="s">
        <v>926</v>
      </c>
      <c r="K180" s="9">
        <v>44312</v>
      </c>
      <c r="L180" s="7">
        <v>44312</v>
      </c>
      <c r="M180" s="2">
        <v>4</v>
      </c>
      <c r="N180" t="s">
        <v>388</v>
      </c>
      <c r="O180" t="s">
        <v>1822</v>
      </c>
      <c r="R180" t="s">
        <v>428</v>
      </c>
      <c r="S180">
        <v>858</v>
      </c>
      <c r="T180" t="s">
        <v>303</v>
      </c>
      <c r="U180" s="2" t="s">
        <v>3</v>
      </c>
    </row>
    <row r="181" spans="1:22" hidden="1" x14ac:dyDescent="0.25">
      <c r="A181" s="3">
        <v>60500</v>
      </c>
      <c r="B181" s="3" t="s">
        <v>298</v>
      </c>
      <c r="D181" t="s">
        <v>400</v>
      </c>
      <c r="E181" t="s">
        <v>251</v>
      </c>
      <c r="F181" t="s">
        <v>603</v>
      </c>
      <c r="G181" t="s">
        <v>834</v>
      </c>
      <c r="H181" t="s">
        <v>592</v>
      </c>
      <c r="I181" t="s">
        <v>498</v>
      </c>
      <c r="J181" t="s">
        <v>835</v>
      </c>
      <c r="K181" s="9">
        <v>44340</v>
      </c>
      <c r="L181" s="7">
        <v>44340</v>
      </c>
      <c r="M181" s="2">
        <v>5</v>
      </c>
      <c r="N181" t="s">
        <v>388</v>
      </c>
      <c r="O181" t="s">
        <v>1822</v>
      </c>
      <c r="R181" t="s">
        <v>432</v>
      </c>
      <c r="S181">
        <v>862</v>
      </c>
      <c r="T181" t="s">
        <v>299</v>
      </c>
      <c r="U181" s="2" t="s">
        <v>3</v>
      </c>
    </row>
    <row r="182" spans="1:22" hidden="1" x14ac:dyDescent="0.25">
      <c r="A182" s="3">
        <v>60507</v>
      </c>
      <c r="B182" s="3" t="s">
        <v>1443</v>
      </c>
      <c r="D182" t="s">
        <v>400</v>
      </c>
      <c r="E182" t="s">
        <v>251</v>
      </c>
      <c r="F182" t="s">
        <v>603</v>
      </c>
      <c r="G182" t="s">
        <v>836</v>
      </c>
      <c r="H182" t="s">
        <v>592</v>
      </c>
      <c r="I182" t="s">
        <v>499</v>
      </c>
      <c r="J182" t="s">
        <v>837</v>
      </c>
      <c r="L182" s="2">
        <v>0</v>
      </c>
      <c r="M182" s="2">
        <v>5</v>
      </c>
      <c r="N182" t="s">
        <v>388</v>
      </c>
      <c r="O182" t="s">
        <v>1822</v>
      </c>
      <c r="R182" t="s">
        <v>432</v>
      </c>
      <c r="S182">
        <v>855</v>
      </c>
      <c r="T182" t="s">
        <v>306</v>
      </c>
      <c r="U182" s="2" t="s">
        <v>3</v>
      </c>
    </row>
    <row r="183" spans="1:22" hidden="1" x14ac:dyDescent="0.25">
      <c r="A183" s="3">
        <v>60900</v>
      </c>
      <c r="B183" s="3" t="s">
        <v>307</v>
      </c>
      <c r="D183" t="s">
        <v>400</v>
      </c>
      <c r="E183" t="s">
        <v>251</v>
      </c>
      <c r="F183" t="s">
        <v>603</v>
      </c>
      <c r="G183" t="s">
        <v>1388</v>
      </c>
      <c r="H183" t="s">
        <v>592</v>
      </c>
      <c r="I183" t="s">
        <v>516</v>
      </c>
      <c r="J183" t="s">
        <v>1396</v>
      </c>
      <c r="L183" s="2">
        <v>0</v>
      </c>
      <c r="M183" s="2">
        <v>5</v>
      </c>
      <c r="N183" t="s">
        <v>388</v>
      </c>
      <c r="O183" t="s">
        <v>1822</v>
      </c>
      <c r="R183" t="s">
        <v>428</v>
      </c>
      <c r="S183">
        <v>629</v>
      </c>
      <c r="T183" t="s">
        <v>308</v>
      </c>
      <c r="U183" s="2" t="s">
        <v>3</v>
      </c>
      <c r="V183" t="s">
        <v>3</v>
      </c>
    </row>
    <row r="184" spans="1:22" hidden="1" x14ac:dyDescent="0.25">
      <c r="A184" s="3">
        <v>61049</v>
      </c>
      <c r="B184" s="3" t="s">
        <v>1457</v>
      </c>
      <c r="D184" t="s">
        <v>400</v>
      </c>
      <c r="E184" t="s">
        <v>251</v>
      </c>
      <c r="F184" t="s">
        <v>603</v>
      </c>
      <c r="K184"/>
      <c r="L184"/>
      <c r="M184" s="2">
        <v>3</v>
      </c>
      <c r="S184">
        <v>540</v>
      </c>
      <c r="U184" s="2" t="s">
        <v>3</v>
      </c>
    </row>
    <row r="185" spans="1:22" hidden="1" x14ac:dyDescent="0.25">
      <c r="A185" s="3">
        <v>600064</v>
      </c>
      <c r="B185" s="3" t="s">
        <v>340</v>
      </c>
      <c r="D185" t="s">
        <v>1245</v>
      </c>
      <c r="E185" t="s">
        <v>6</v>
      </c>
      <c r="F185" t="s">
        <v>616</v>
      </c>
      <c r="G185" t="s">
        <v>1051</v>
      </c>
      <c r="H185" t="s">
        <v>592</v>
      </c>
      <c r="I185" t="s">
        <v>543</v>
      </c>
      <c r="J185" t="s">
        <v>1052</v>
      </c>
      <c r="K185" s="9">
        <v>44544</v>
      </c>
      <c r="L185" s="7">
        <v>44544</v>
      </c>
      <c r="M185" s="2">
        <v>5</v>
      </c>
      <c r="N185" t="s">
        <v>388</v>
      </c>
      <c r="O185" t="s">
        <v>1822</v>
      </c>
      <c r="R185" t="s">
        <v>432</v>
      </c>
      <c r="S185">
        <v>889</v>
      </c>
      <c r="T185" t="s">
        <v>341</v>
      </c>
      <c r="U185" s="2" t="s">
        <v>3</v>
      </c>
    </row>
    <row r="186" spans="1:22" hidden="1" x14ac:dyDescent="0.25">
      <c r="A186" s="3">
        <v>5504</v>
      </c>
      <c r="B186" s="3" t="s">
        <v>106</v>
      </c>
      <c r="D186" t="s">
        <v>1245</v>
      </c>
      <c r="E186" t="s">
        <v>6</v>
      </c>
      <c r="F186" t="s">
        <v>616</v>
      </c>
      <c r="G186" t="s">
        <v>1370</v>
      </c>
      <c r="H186" t="s">
        <v>592</v>
      </c>
      <c r="I186" t="s">
        <v>481</v>
      </c>
      <c r="J186" t="s">
        <v>771</v>
      </c>
      <c r="L186" s="2">
        <v>0</v>
      </c>
      <c r="M186" s="2">
        <v>5</v>
      </c>
      <c r="N186" t="s">
        <v>388</v>
      </c>
      <c r="O186" t="s">
        <v>1822</v>
      </c>
      <c r="R186" t="s">
        <v>432</v>
      </c>
      <c r="S186">
        <v>82</v>
      </c>
      <c r="T186" t="s">
        <v>107</v>
      </c>
      <c r="U186" s="2" t="s">
        <v>3</v>
      </c>
    </row>
    <row r="187" spans="1:22" hidden="1" x14ac:dyDescent="0.25">
      <c r="A187" s="3">
        <v>5501</v>
      </c>
      <c r="B187" s="3" t="s">
        <v>99</v>
      </c>
      <c r="D187" t="s">
        <v>1245</v>
      </c>
      <c r="E187" t="s">
        <v>6</v>
      </c>
      <c r="F187" t="s">
        <v>616</v>
      </c>
      <c r="G187" t="s">
        <v>1015</v>
      </c>
      <c r="H187" t="s">
        <v>1016</v>
      </c>
      <c r="I187" t="s">
        <v>537</v>
      </c>
      <c r="J187" t="s">
        <v>1017</v>
      </c>
      <c r="L187" s="2">
        <v>0</v>
      </c>
      <c r="M187" s="2">
        <v>5</v>
      </c>
      <c r="N187" t="s">
        <v>388</v>
      </c>
      <c r="O187" t="s">
        <v>1822</v>
      </c>
      <c r="R187" t="s">
        <v>428</v>
      </c>
      <c r="S187">
        <v>44</v>
      </c>
      <c r="T187" t="s">
        <v>100</v>
      </c>
      <c r="U187" s="2" t="s">
        <v>3</v>
      </c>
    </row>
    <row r="188" spans="1:22" hidden="1" x14ac:dyDescent="0.25">
      <c r="A188" s="3">
        <v>6000036</v>
      </c>
      <c r="B188" s="3" t="s">
        <v>357</v>
      </c>
      <c r="D188" t="s">
        <v>1245</v>
      </c>
      <c r="E188" t="s">
        <v>6</v>
      </c>
      <c r="F188" t="s">
        <v>616</v>
      </c>
      <c r="G188" t="s">
        <v>1018</v>
      </c>
      <c r="H188" t="s">
        <v>1019</v>
      </c>
      <c r="I188" t="s">
        <v>537</v>
      </c>
      <c r="J188" t="s">
        <v>1020</v>
      </c>
      <c r="K188" s="9">
        <v>44655</v>
      </c>
      <c r="L188" s="7">
        <v>44655</v>
      </c>
      <c r="M188" s="2">
        <v>4</v>
      </c>
      <c r="N188" t="s">
        <v>388</v>
      </c>
      <c r="O188" t="s">
        <v>1821</v>
      </c>
      <c r="R188" t="s">
        <v>381</v>
      </c>
      <c r="S188">
        <v>479</v>
      </c>
      <c r="T188" t="s">
        <v>358</v>
      </c>
      <c r="U188" s="2" t="s">
        <v>3</v>
      </c>
    </row>
    <row r="189" spans="1:22" hidden="1" x14ac:dyDescent="0.25">
      <c r="A189" s="3">
        <v>6000040</v>
      </c>
      <c r="B189" s="3" t="s">
        <v>365</v>
      </c>
      <c r="D189" t="s">
        <v>1245</v>
      </c>
      <c r="E189" t="s">
        <v>6</v>
      </c>
      <c r="F189" t="s">
        <v>616</v>
      </c>
      <c r="G189" t="s">
        <v>1022</v>
      </c>
      <c r="H189" t="s">
        <v>1023</v>
      </c>
      <c r="I189" t="s">
        <v>537</v>
      </c>
      <c r="J189" t="s">
        <v>1024</v>
      </c>
      <c r="K189" s="9">
        <v>44678</v>
      </c>
      <c r="L189" s="7">
        <v>44678</v>
      </c>
      <c r="M189" s="2">
        <v>4</v>
      </c>
      <c r="N189" t="s">
        <v>388</v>
      </c>
      <c r="O189" t="s">
        <v>1821</v>
      </c>
      <c r="R189" t="s">
        <v>381</v>
      </c>
      <c r="S189">
        <v>478</v>
      </c>
      <c r="T189" t="s">
        <v>365</v>
      </c>
      <c r="U189" s="2" t="s">
        <v>3</v>
      </c>
    </row>
    <row r="190" spans="1:22" hidden="1" x14ac:dyDescent="0.25">
      <c r="A190" s="3">
        <v>5506</v>
      </c>
      <c r="B190" s="3" t="s">
        <v>108</v>
      </c>
      <c r="D190" t="s">
        <v>1245</v>
      </c>
      <c r="E190" t="s">
        <v>6</v>
      </c>
      <c r="F190" t="s">
        <v>616</v>
      </c>
      <c r="G190" t="s">
        <v>1025</v>
      </c>
      <c r="H190" t="s">
        <v>1026</v>
      </c>
      <c r="I190" t="s">
        <v>537</v>
      </c>
      <c r="J190" t="s">
        <v>1027</v>
      </c>
      <c r="L190" s="2">
        <v>0</v>
      </c>
      <c r="M190" s="2">
        <v>4</v>
      </c>
      <c r="N190" t="s">
        <v>388</v>
      </c>
      <c r="O190" t="s">
        <v>1822</v>
      </c>
      <c r="R190" t="s">
        <v>428</v>
      </c>
      <c r="S190">
        <v>85</v>
      </c>
      <c r="T190" t="s">
        <v>109</v>
      </c>
      <c r="U190" s="2" t="s">
        <v>3</v>
      </c>
      <c r="V190" t="s">
        <v>3</v>
      </c>
    </row>
    <row r="191" spans="1:22" hidden="1" x14ac:dyDescent="0.25">
      <c r="A191" s="3">
        <v>600081</v>
      </c>
      <c r="B191" s="3" t="s">
        <v>348</v>
      </c>
      <c r="D191" t="s">
        <v>1245</v>
      </c>
      <c r="E191" t="s">
        <v>6</v>
      </c>
      <c r="F191" t="s">
        <v>616</v>
      </c>
      <c r="G191" t="s">
        <v>1371</v>
      </c>
      <c r="H191" t="s">
        <v>1028</v>
      </c>
      <c r="I191" t="s">
        <v>537</v>
      </c>
      <c r="J191" t="s">
        <v>1029</v>
      </c>
      <c r="K191" s="9">
        <v>44655</v>
      </c>
      <c r="L191" s="7">
        <v>44655</v>
      </c>
      <c r="M191" s="2">
        <v>4</v>
      </c>
      <c r="N191" t="s">
        <v>388</v>
      </c>
      <c r="O191" t="s">
        <v>1821</v>
      </c>
      <c r="R191" t="s">
        <v>381</v>
      </c>
      <c r="S191">
        <v>473</v>
      </c>
      <c r="T191" t="s">
        <v>348</v>
      </c>
      <c r="U191" s="2" t="s">
        <v>3</v>
      </c>
    </row>
    <row r="192" spans="1:22" hidden="1" x14ac:dyDescent="0.25">
      <c r="A192" s="3">
        <v>50734</v>
      </c>
      <c r="B192" s="3" t="s">
        <v>271</v>
      </c>
      <c r="D192" t="s">
        <v>1245</v>
      </c>
      <c r="E192" t="s">
        <v>6</v>
      </c>
      <c r="F192" t="s">
        <v>616</v>
      </c>
      <c r="G192" t="s">
        <v>758</v>
      </c>
      <c r="H192" t="s">
        <v>592</v>
      </c>
      <c r="I192" t="s">
        <v>479</v>
      </c>
      <c r="J192" t="s">
        <v>759</v>
      </c>
      <c r="L192" s="2">
        <v>0</v>
      </c>
      <c r="M192" s="2">
        <v>5</v>
      </c>
      <c r="N192" t="s">
        <v>388</v>
      </c>
      <c r="O192" t="s">
        <v>1822</v>
      </c>
      <c r="R192" t="s">
        <v>428</v>
      </c>
      <c r="S192">
        <v>681</v>
      </c>
      <c r="T192" t="s">
        <v>272</v>
      </c>
      <c r="U192" s="2" t="s">
        <v>3</v>
      </c>
    </row>
    <row r="193" spans="1:22" hidden="1" x14ac:dyDescent="0.25">
      <c r="A193" s="3">
        <v>52012</v>
      </c>
      <c r="B193" s="3" t="s">
        <v>276</v>
      </c>
      <c r="D193" t="s">
        <v>1245</v>
      </c>
      <c r="E193" t="s">
        <v>6</v>
      </c>
      <c r="F193" t="s">
        <v>616</v>
      </c>
      <c r="G193" t="s">
        <v>1373</v>
      </c>
      <c r="H193" t="s">
        <v>592</v>
      </c>
      <c r="I193" t="s">
        <v>537</v>
      </c>
      <c r="J193" t="s">
        <v>1021</v>
      </c>
      <c r="L193" s="2">
        <v>0</v>
      </c>
      <c r="M193" s="2">
        <v>4</v>
      </c>
      <c r="N193" t="s">
        <v>388</v>
      </c>
      <c r="O193" t="s">
        <v>1822</v>
      </c>
      <c r="R193" t="s">
        <v>428</v>
      </c>
      <c r="S193">
        <v>702</v>
      </c>
      <c r="T193" t="s">
        <v>277</v>
      </c>
      <c r="U193" s="2" t="s">
        <v>3</v>
      </c>
      <c r="V193" t="s">
        <v>3</v>
      </c>
    </row>
    <row r="194" spans="1:22" hidden="1" x14ac:dyDescent="0.25">
      <c r="A194" s="3">
        <v>180007</v>
      </c>
      <c r="B194" s="3" t="s">
        <v>364</v>
      </c>
      <c r="D194" t="s">
        <v>1318</v>
      </c>
      <c r="E194" t="s">
        <v>165</v>
      </c>
      <c r="F194" t="s">
        <v>598</v>
      </c>
      <c r="G194" t="s">
        <v>599</v>
      </c>
      <c r="H194" t="s">
        <v>600</v>
      </c>
      <c r="I194" t="s">
        <v>601</v>
      </c>
      <c r="J194" t="s">
        <v>602</v>
      </c>
      <c r="K194" s="9">
        <v>44678</v>
      </c>
      <c r="L194" s="7">
        <v>44678</v>
      </c>
      <c r="M194" s="2">
        <v>5</v>
      </c>
      <c r="N194" t="s">
        <v>388</v>
      </c>
      <c r="O194" t="s">
        <v>1821</v>
      </c>
      <c r="R194" t="s">
        <v>381</v>
      </c>
      <c r="S194">
        <v>481</v>
      </c>
      <c r="T194" t="s">
        <v>364</v>
      </c>
      <c r="U194" s="2" t="s">
        <v>3</v>
      </c>
    </row>
    <row r="195" spans="1:22" hidden="1" x14ac:dyDescent="0.25">
      <c r="A195" s="3">
        <v>17500</v>
      </c>
      <c r="B195" s="3" t="s">
        <v>176</v>
      </c>
      <c r="D195" t="s">
        <v>1318</v>
      </c>
      <c r="E195" t="s">
        <v>165</v>
      </c>
      <c r="F195" t="s">
        <v>598</v>
      </c>
      <c r="G195" t="s">
        <v>1397</v>
      </c>
      <c r="H195" t="s">
        <v>632</v>
      </c>
      <c r="I195" t="s">
        <v>443</v>
      </c>
      <c r="J195" t="s">
        <v>633</v>
      </c>
      <c r="L195" s="2">
        <v>0</v>
      </c>
      <c r="M195" s="2">
        <v>7</v>
      </c>
      <c r="N195" t="s">
        <v>388</v>
      </c>
      <c r="O195" t="s">
        <v>1822</v>
      </c>
      <c r="R195" t="s">
        <v>428</v>
      </c>
      <c r="S195">
        <v>226</v>
      </c>
      <c r="T195" t="s">
        <v>177</v>
      </c>
      <c r="U195" s="2" t="s">
        <v>3</v>
      </c>
      <c r="V195" t="s">
        <v>3</v>
      </c>
    </row>
    <row r="196" spans="1:22" hidden="1" x14ac:dyDescent="0.25">
      <c r="A196" s="3">
        <v>600098</v>
      </c>
      <c r="B196" s="3" t="s">
        <v>1116</v>
      </c>
      <c r="D196" t="s">
        <v>1318</v>
      </c>
      <c r="E196" t="s">
        <v>165</v>
      </c>
      <c r="F196" t="s">
        <v>598</v>
      </c>
      <c r="G196" t="s">
        <v>1118</v>
      </c>
      <c r="H196" t="s">
        <v>592</v>
      </c>
      <c r="I196" t="s">
        <v>1119</v>
      </c>
      <c r="J196" t="s">
        <v>1117</v>
      </c>
      <c r="K196" s="9">
        <v>45040</v>
      </c>
      <c r="L196" s="7">
        <v>45040</v>
      </c>
      <c r="M196" s="2">
        <v>4</v>
      </c>
      <c r="N196" t="s">
        <v>388</v>
      </c>
      <c r="O196" t="s">
        <v>1822</v>
      </c>
      <c r="R196" t="s">
        <v>432</v>
      </c>
      <c r="S196">
        <v>506</v>
      </c>
      <c r="U196" s="2" t="s">
        <v>3</v>
      </c>
    </row>
    <row r="197" spans="1:22" hidden="1" x14ac:dyDescent="0.25">
      <c r="A197" s="3">
        <v>17514</v>
      </c>
      <c r="B197" s="3" t="s">
        <v>179</v>
      </c>
      <c r="D197" t="s">
        <v>1318</v>
      </c>
      <c r="E197" t="s">
        <v>165</v>
      </c>
      <c r="F197" t="s">
        <v>598</v>
      </c>
      <c r="G197" t="s">
        <v>634</v>
      </c>
      <c r="H197" t="s">
        <v>635</v>
      </c>
      <c r="I197" t="s">
        <v>443</v>
      </c>
      <c r="J197" t="s">
        <v>636</v>
      </c>
      <c r="K197" s="9">
        <v>44319</v>
      </c>
      <c r="L197" s="7">
        <v>44319</v>
      </c>
      <c r="M197" s="2">
        <v>4</v>
      </c>
      <c r="N197" t="s">
        <v>388</v>
      </c>
      <c r="O197" t="s">
        <v>1822</v>
      </c>
      <c r="R197" t="s">
        <v>428</v>
      </c>
      <c r="S197">
        <v>848</v>
      </c>
      <c r="T197" t="s">
        <v>179</v>
      </c>
      <c r="U197" s="2" t="s">
        <v>3</v>
      </c>
    </row>
    <row r="198" spans="1:22" hidden="1" x14ac:dyDescent="0.25">
      <c r="A198" s="3">
        <v>22001</v>
      </c>
      <c r="B198" s="3" t="s">
        <v>224</v>
      </c>
      <c r="D198" t="s">
        <v>1318</v>
      </c>
      <c r="E198" t="s">
        <v>165</v>
      </c>
      <c r="F198" t="s">
        <v>804</v>
      </c>
      <c r="G198" t="s">
        <v>805</v>
      </c>
      <c r="H198" t="s">
        <v>806</v>
      </c>
      <c r="I198" t="s">
        <v>492</v>
      </c>
      <c r="J198" t="s">
        <v>807</v>
      </c>
      <c r="L198" s="2">
        <v>0</v>
      </c>
      <c r="M198" s="2">
        <v>4</v>
      </c>
      <c r="N198" t="s">
        <v>388</v>
      </c>
      <c r="O198" t="s">
        <v>1822</v>
      </c>
      <c r="R198" t="s">
        <v>432</v>
      </c>
      <c r="S198">
        <v>287</v>
      </c>
      <c r="T198" t="s">
        <v>225</v>
      </c>
      <c r="U198" s="2" t="s">
        <v>3</v>
      </c>
    </row>
    <row r="199" spans="1:22" hidden="1" x14ac:dyDescent="0.25">
      <c r="A199" s="3">
        <v>4900</v>
      </c>
      <c r="B199" s="3" t="s">
        <v>98</v>
      </c>
      <c r="D199" t="s">
        <v>399</v>
      </c>
      <c r="E199" t="s">
        <v>165</v>
      </c>
      <c r="F199" t="s">
        <v>638</v>
      </c>
      <c r="G199" t="s">
        <v>639</v>
      </c>
      <c r="H199" t="s">
        <v>640</v>
      </c>
      <c r="I199" t="s">
        <v>444</v>
      </c>
      <c r="J199" t="s">
        <v>641</v>
      </c>
      <c r="L199" s="2">
        <v>0</v>
      </c>
      <c r="M199" s="2">
        <v>7</v>
      </c>
      <c r="N199" t="s">
        <v>388</v>
      </c>
      <c r="O199" t="s">
        <v>1822</v>
      </c>
      <c r="R199" t="s">
        <v>428</v>
      </c>
      <c r="S199">
        <v>627</v>
      </c>
      <c r="T199" t="s">
        <v>98</v>
      </c>
      <c r="U199" s="2" t="s">
        <v>3</v>
      </c>
    </row>
    <row r="200" spans="1:22" hidden="1" x14ac:dyDescent="0.25">
      <c r="A200" s="3">
        <v>45034</v>
      </c>
      <c r="B200" s="3" t="s">
        <v>1441</v>
      </c>
      <c r="D200" t="s">
        <v>399</v>
      </c>
      <c r="E200" t="s">
        <v>165</v>
      </c>
      <c r="F200" t="s">
        <v>638</v>
      </c>
      <c r="G200" t="s">
        <v>700</v>
      </c>
      <c r="H200" t="s">
        <v>701</v>
      </c>
      <c r="I200" t="s">
        <v>461</v>
      </c>
      <c r="J200" t="s">
        <v>702</v>
      </c>
      <c r="L200" s="2">
        <v>0</v>
      </c>
      <c r="M200" s="2">
        <v>4</v>
      </c>
      <c r="N200" t="s">
        <v>388</v>
      </c>
      <c r="O200" t="s">
        <v>1822</v>
      </c>
      <c r="R200" t="s">
        <v>432</v>
      </c>
      <c r="S200">
        <v>745</v>
      </c>
      <c r="T200" t="s">
        <v>258</v>
      </c>
      <c r="U200" s="2" t="s">
        <v>3</v>
      </c>
    </row>
    <row r="201" spans="1:22" hidden="1" x14ac:dyDescent="0.25">
      <c r="A201" s="3">
        <v>45018</v>
      </c>
      <c r="B201" s="3" t="s">
        <v>1442</v>
      </c>
      <c r="D201" t="s">
        <v>399</v>
      </c>
      <c r="E201" t="s">
        <v>165</v>
      </c>
      <c r="F201" t="s">
        <v>638</v>
      </c>
      <c r="G201" t="s">
        <v>956</v>
      </c>
      <c r="H201" t="s">
        <v>957</v>
      </c>
      <c r="I201" t="s">
        <v>521</v>
      </c>
      <c r="J201" t="s">
        <v>958</v>
      </c>
      <c r="L201" s="2">
        <v>0</v>
      </c>
      <c r="M201" s="2">
        <v>4</v>
      </c>
      <c r="N201" t="s">
        <v>388</v>
      </c>
      <c r="O201" t="s">
        <v>1822</v>
      </c>
      <c r="R201" t="s">
        <v>432</v>
      </c>
      <c r="S201">
        <v>769</v>
      </c>
      <c r="T201" t="s">
        <v>257</v>
      </c>
      <c r="U201" s="2" t="s">
        <v>3</v>
      </c>
    </row>
    <row r="202" spans="1:22" hidden="1" x14ac:dyDescent="0.25">
      <c r="A202" s="3">
        <v>7754</v>
      </c>
      <c r="B202" s="3" t="s">
        <v>1445</v>
      </c>
      <c r="D202" t="s">
        <v>399</v>
      </c>
      <c r="E202" t="s">
        <v>165</v>
      </c>
      <c r="F202" t="s">
        <v>638</v>
      </c>
      <c r="K202" s="9">
        <v>45488</v>
      </c>
      <c r="L202"/>
      <c r="M202" s="2">
        <v>3</v>
      </c>
      <c r="S202">
        <v>748</v>
      </c>
      <c r="U202" s="2" t="s">
        <v>3</v>
      </c>
    </row>
    <row r="203" spans="1:22" hidden="1" x14ac:dyDescent="0.25">
      <c r="A203" s="3">
        <v>7759</v>
      </c>
      <c r="B203" s="3" t="s">
        <v>1466</v>
      </c>
      <c r="D203" t="s">
        <v>399</v>
      </c>
      <c r="E203" t="s">
        <v>165</v>
      </c>
      <c r="F203" t="s">
        <v>638</v>
      </c>
      <c r="G203" t="s">
        <v>1487</v>
      </c>
      <c r="H203" t="s">
        <v>1488</v>
      </c>
      <c r="I203" t="s">
        <v>444</v>
      </c>
      <c r="J203" t="s">
        <v>1489</v>
      </c>
      <c r="K203"/>
      <c r="L203"/>
      <c r="M203" s="2">
        <v>3</v>
      </c>
      <c r="S203">
        <v>939</v>
      </c>
      <c r="T203" t="s">
        <v>1466</v>
      </c>
      <c r="U203" s="2" t="s">
        <v>3</v>
      </c>
    </row>
    <row r="204" spans="1:22" hidden="1" x14ac:dyDescent="0.25">
      <c r="A204" s="3">
        <v>7755</v>
      </c>
      <c r="B204" s="3" t="s">
        <v>1467</v>
      </c>
      <c r="D204" t="s">
        <v>399</v>
      </c>
      <c r="E204" t="s">
        <v>165</v>
      </c>
      <c r="F204" t="s">
        <v>638</v>
      </c>
      <c r="G204" t="s">
        <v>1490</v>
      </c>
      <c r="H204" t="s">
        <v>1491</v>
      </c>
      <c r="I204" t="s">
        <v>444</v>
      </c>
      <c r="J204" t="s">
        <v>1492</v>
      </c>
      <c r="K204"/>
      <c r="L204"/>
      <c r="M204" s="2">
        <v>3</v>
      </c>
      <c r="S204">
        <v>403</v>
      </c>
      <c r="U204" s="2" t="s">
        <v>3</v>
      </c>
    </row>
    <row r="205" spans="1:22" hidden="1" x14ac:dyDescent="0.25">
      <c r="A205" s="3">
        <v>7757</v>
      </c>
      <c r="B205" s="3" t="s">
        <v>1468</v>
      </c>
      <c r="D205" t="s">
        <v>399</v>
      </c>
      <c r="E205" t="s">
        <v>165</v>
      </c>
      <c r="F205" t="s">
        <v>638</v>
      </c>
      <c r="G205" t="s">
        <v>1493</v>
      </c>
      <c r="H205" t="s">
        <v>1494</v>
      </c>
      <c r="I205" t="s">
        <v>444</v>
      </c>
      <c r="J205" t="s">
        <v>1495</v>
      </c>
      <c r="K205"/>
      <c r="L205"/>
      <c r="M205" s="2">
        <v>3</v>
      </c>
      <c r="S205">
        <v>936</v>
      </c>
      <c r="T205" t="s">
        <v>1468</v>
      </c>
      <c r="U205" s="2" t="s">
        <v>3</v>
      </c>
    </row>
    <row r="206" spans="1:22" hidden="1" x14ac:dyDescent="0.25">
      <c r="A206" s="3">
        <v>97913</v>
      </c>
      <c r="B206" s="3" t="s">
        <v>1474</v>
      </c>
      <c r="D206" t="s">
        <v>1299</v>
      </c>
      <c r="E206" t="s">
        <v>122</v>
      </c>
      <c r="F206" t="s">
        <v>729</v>
      </c>
      <c r="G206" t="s">
        <v>1512</v>
      </c>
      <c r="H206" t="s">
        <v>1513</v>
      </c>
      <c r="I206" t="s">
        <v>1514</v>
      </c>
      <c r="J206" t="s">
        <v>1515</v>
      </c>
      <c r="K206"/>
      <c r="L206"/>
      <c r="M206" s="2">
        <v>4</v>
      </c>
      <c r="S206">
        <v>940</v>
      </c>
      <c r="U206" s="2" t="s">
        <v>3</v>
      </c>
    </row>
    <row r="207" spans="1:22" hidden="1" x14ac:dyDescent="0.25">
      <c r="A207" s="3">
        <v>97926</v>
      </c>
      <c r="B207" s="3" t="s">
        <v>1476</v>
      </c>
      <c r="D207" t="s">
        <v>1299</v>
      </c>
      <c r="E207" t="s">
        <v>122</v>
      </c>
      <c r="F207" t="s">
        <v>729</v>
      </c>
      <c r="G207" t="s">
        <v>1519</v>
      </c>
      <c r="H207" t="s">
        <v>592</v>
      </c>
      <c r="I207" t="s">
        <v>1520</v>
      </c>
      <c r="J207" t="s">
        <v>1521</v>
      </c>
      <c r="K207"/>
      <c r="L207"/>
      <c r="M207" s="2">
        <v>3</v>
      </c>
      <c r="S207">
        <v>934</v>
      </c>
      <c r="T207" t="s">
        <v>1476</v>
      </c>
      <c r="U207" s="2" t="s">
        <v>3</v>
      </c>
    </row>
    <row r="208" spans="1:22" hidden="1" x14ac:dyDescent="0.25">
      <c r="A208" s="3">
        <v>97928</v>
      </c>
      <c r="B208" s="3" t="s">
        <v>1477</v>
      </c>
      <c r="D208" t="s">
        <v>1299</v>
      </c>
      <c r="E208" t="s">
        <v>122</v>
      </c>
      <c r="F208" t="s">
        <v>729</v>
      </c>
      <c r="G208" t="s">
        <v>1522</v>
      </c>
      <c r="H208" t="s">
        <v>592</v>
      </c>
      <c r="I208" t="s">
        <v>1523</v>
      </c>
      <c r="J208" t="s">
        <v>1524</v>
      </c>
      <c r="K208"/>
      <c r="L208"/>
      <c r="M208" s="2">
        <v>3</v>
      </c>
      <c r="S208">
        <v>956</v>
      </c>
      <c r="T208" t="s">
        <v>1477</v>
      </c>
      <c r="U208" s="2" t="s">
        <v>3</v>
      </c>
    </row>
    <row r="209" spans="1:21" hidden="1" x14ac:dyDescent="0.25">
      <c r="A209" s="3">
        <v>98014</v>
      </c>
      <c r="B209" s="3" t="s">
        <v>1558</v>
      </c>
      <c r="D209" t="s">
        <v>1299</v>
      </c>
      <c r="E209" t="s">
        <v>122</v>
      </c>
      <c r="F209" t="s">
        <v>729</v>
      </c>
      <c r="G209" t="s">
        <v>1555</v>
      </c>
      <c r="H209" t="s">
        <v>592</v>
      </c>
      <c r="I209" t="s">
        <v>1556</v>
      </c>
      <c r="J209" t="s">
        <v>1557</v>
      </c>
      <c r="L209" s="7">
        <v>45636</v>
      </c>
      <c r="M209" s="2">
        <v>3</v>
      </c>
      <c r="O209" t="s">
        <v>1822</v>
      </c>
      <c r="R209" t="s">
        <v>432</v>
      </c>
      <c r="S209">
        <v>949</v>
      </c>
      <c r="T209" t="s">
        <v>1558</v>
      </c>
      <c r="U209" s="2" t="s">
        <v>3</v>
      </c>
    </row>
    <row r="210" spans="1:21" hidden="1" x14ac:dyDescent="0.25">
      <c r="A210" s="3">
        <v>98970</v>
      </c>
      <c r="B210" s="3" t="s">
        <v>1799</v>
      </c>
      <c r="D210" t="s">
        <v>1299</v>
      </c>
      <c r="E210" t="s">
        <v>122</v>
      </c>
      <c r="F210" t="s">
        <v>729</v>
      </c>
      <c r="M210" s="2">
        <v>2</v>
      </c>
      <c r="U210" s="2" t="s">
        <v>3</v>
      </c>
    </row>
    <row r="211" spans="1:21" hidden="1" x14ac:dyDescent="0.25">
      <c r="A211" s="3">
        <v>600076</v>
      </c>
      <c r="B211" s="3" t="s">
        <v>343</v>
      </c>
      <c r="D211" t="s">
        <v>1216</v>
      </c>
      <c r="E211" t="s">
        <v>6</v>
      </c>
      <c r="F211" t="s">
        <v>616</v>
      </c>
      <c r="G211" t="s">
        <v>1367</v>
      </c>
      <c r="H211" t="s">
        <v>592</v>
      </c>
      <c r="I211" t="s">
        <v>715</v>
      </c>
      <c r="J211" t="s">
        <v>716</v>
      </c>
      <c r="K211" s="9">
        <v>44648</v>
      </c>
      <c r="L211" s="7">
        <v>44648</v>
      </c>
      <c r="M211" s="2">
        <v>5</v>
      </c>
      <c r="N211" t="s">
        <v>388</v>
      </c>
      <c r="O211" t="s">
        <v>1821</v>
      </c>
      <c r="R211" t="s">
        <v>381</v>
      </c>
      <c r="S211">
        <v>468</v>
      </c>
      <c r="T211" t="s">
        <v>343</v>
      </c>
      <c r="U211" s="2" t="s">
        <v>3</v>
      </c>
    </row>
    <row r="212" spans="1:21" hidden="1" x14ac:dyDescent="0.25">
      <c r="A212" s="3">
        <v>600075</v>
      </c>
      <c r="B212" s="3" t="s">
        <v>342</v>
      </c>
      <c r="D212" t="s">
        <v>1216</v>
      </c>
      <c r="E212" t="s">
        <v>6</v>
      </c>
      <c r="F212" t="s">
        <v>616</v>
      </c>
      <c r="G212" t="s">
        <v>817</v>
      </c>
      <c r="H212" t="s">
        <v>592</v>
      </c>
      <c r="I212" t="s">
        <v>818</v>
      </c>
      <c r="J212" t="s">
        <v>819</v>
      </c>
      <c r="K212" s="9">
        <v>44662</v>
      </c>
      <c r="L212" s="7">
        <v>44662</v>
      </c>
      <c r="M212" s="2">
        <v>4</v>
      </c>
      <c r="N212" t="s">
        <v>388</v>
      </c>
      <c r="O212" t="s">
        <v>1821</v>
      </c>
      <c r="R212" t="s">
        <v>381</v>
      </c>
      <c r="S212">
        <v>466</v>
      </c>
      <c r="T212" t="s">
        <v>342</v>
      </c>
      <c r="U212" s="2" t="s">
        <v>3</v>
      </c>
    </row>
    <row r="213" spans="1:21" hidden="1" x14ac:dyDescent="0.25">
      <c r="A213" s="3">
        <v>600080</v>
      </c>
      <c r="B213" s="3" t="s">
        <v>347</v>
      </c>
      <c r="D213" t="s">
        <v>1216</v>
      </c>
      <c r="E213" t="s">
        <v>6</v>
      </c>
      <c r="F213" t="s">
        <v>616</v>
      </c>
      <c r="G213" t="s">
        <v>820</v>
      </c>
      <c r="H213" t="s">
        <v>592</v>
      </c>
      <c r="I213" t="s">
        <v>821</v>
      </c>
      <c r="J213" t="s">
        <v>822</v>
      </c>
      <c r="K213" s="9">
        <v>44655</v>
      </c>
      <c r="L213" s="7">
        <v>44655</v>
      </c>
      <c r="M213" s="2">
        <v>5</v>
      </c>
      <c r="N213" t="s">
        <v>388</v>
      </c>
      <c r="O213" t="s">
        <v>1821</v>
      </c>
      <c r="R213" t="s">
        <v>381</v>
      </c>
      <c r="S213">
        <v>886</v>
      </c>
      <c r="T213" t="s">
        <v>325</v>
      </c>
      <c r="U213" s="2" t="s">
        <v>3</v>
      </c>
    </row>
    <row r="214" spans="1:21" hidden="1" x14ac:dyDescent="0.25">
      <c r="A214" s="3">
        <v>5503</v>
      </c>
      <c r="B214" s="3" t="s">
        <v>104</v>
      </c>
      <c r="D214" t="s">
        <v>1216</v>
      </c>
      <c r="E214" t="s">
        <v>6</v>
      </c>
      <c r="F214" t="s">
        <v>616</v>
      </c>
      <c r="G214" t="s">
        <v>1368</v>
      </c>
      <c r="H214" t="s">
        <v>902</v>
      </c>
      <c r="I214" t="s">
        <v>511</v>
      </c>
      <c r="J214" t="s">
        <v>903</v>
      </c>
      <c r="L214" s="2">
        <v>0</v>
      </c>
      <c r="M214" s="2">
        <v>3</v>
      </c>
      <c r="N214" t="s">
        <v>388</v>
      </c>
      <c r="O214" t="s">
        <v>1822</v>
      </c>
      <c r="R214" t="s">
        <v>432</v>
      </c>
      <c r="S214">
        <v>81</v>
      </c>
      <c r="T214" t="s">
        <v>105</v>
      </c>
      <c r="U214" s="2" t="s">
        <v>3</v>
      </c>
    </row>
    <row r="215" spans="1:21" hidden="1" x14ac:dyDescent="0.25">
      <c r="A215" s="3">
        <v>600077</v>
      </c>
      <c r="B215" s="3" t="s">
        <v>344</v>
      </c>
      <c r="D215" t="s">
        <v>1216</v>
      </c>
      <c r="E215" t="s">
        <v>6</v>
      </c>
      <c r="F215" t="s">
        <v>616</v>
      </c>
      <c r="G215" t="s">
        <v>966</v>
      </c>
      <c r="H215" t="s">
        <v>592</v>
      </c>
      <c r="I215" t="s">
        <v>967</v>
      </c>
      <c r="J215" t="s">
        <v>968</v>
      </c>
      <c r="K215" s="9">
        <v>44677</v>
      </c>
      <c r="L215" s="7">
        <v>44677</v>
      </c>
      <c r="M215" s="2">
        <v>6</v>
      </c>
      <c r="N215" t="s">
        <v>388</v>
      </c>
      <c r="O215" t="s">
        <v>1821</v>
      </c>
      <c r="R215" t="s">
        <v>381</v>
      </c>
      <c r="S215">
        <v>893</v>
      </c>
      <c r="T215" t="s">
        <v>344</v>
      </c>
      <c r="U215" s="2" t="s">
        <v>3</v>
      </c>
    </row>
    <row r="216" spans="1:21" hidden="1" x14ac:dyDescent="0.25">
      <c r="A216" s="3">
        <v>50731</v>
      </c>
      <c r="B216" s="3" t="s">
        <v>267</v>
      </c>
      <c r="D216" t="s">
        <v>1216</v>
      </c>
      <c r="E216" t="s">
        <v>6</v>
      </c>
      <c r="F216" t="s">
        <v>616</v>
      </c>
      <c r="G216" t="s">
        <v>974</v>
      </c>
      <c r="H216" t="s">
        <v>592</v>
      </c>
      <c r="I216" t="s">
        <v>525</v>
      </c>
      <c r="J216" t="s">
        <v>975</v>
      </c>
      <c r="L216" s="2">
        <v>0</v>
      </c>
      <c r="M216" s="2">
        <v>5</v>
      </c>
      <c r="N216" t="s">
        <v>388</v>
      </c>
      <c r="O216" t="s">
        <v>1822</v>
      </c>
      <c r="R216" t="s">
        <v>432</v>
      </c>
      <c r="S216">
        <v>291</v>
      </c>
      <c r="T216" t="s">
        <v>268</v>
      </c>
      <c r="U216" s="2" t="s">
        <v>3</v>
      </c>
    </row>
    <row r="217" spans="1:21" hidden="1" x14ac:dyDescent="0.25">
      <c r="A217" s="3">
        <v>600078</v>
      </c>
      <c r="B217" s="3" t="s">
        <v>345</v>
      </c>
      <c r="D217" t="s">
        <v>1216</v>
      </c>
      <c r="E217" t="s">
        <v>6</v>
      </c>
      <c r="F217" t="s">
        <v>616</v>
      </c>
      <c r="G217" t="s">
        <v>981</v>
      </c>
      <c r="H217" t="s">
        <v>592</v>
      </c>
      <c r="I217" t="s">
        <v>982</v>
      </c>
      <c r="J217" t="s">
        <v>983</v>
      </c>
      <c r="K217" s="9">
        <v>44677</v>
      </c>
      <c r="L217" s="7">
        <v>44677</v>
      </c>
      <c r="M217" s="2">
        <v>4</v>
      </c>
      <c r="N217" t="s">
        <v>388</v>
      </c>
      <c r="O217" t="s">
        <v>1821</v>
      </c>
      <c r="R217" t="s">
        <v>381</v>
      </c>
      <c r="S217">
        <v>467</v>
      </c>
      <c r="T217" t="s">
        <v>345</v>
      </c>
      <c r="U217" s="2" t="s">
        <v>3</v>
      </c>
    </row>
    <row r="218" spans="1:21" hidden="1" x14ac:dyDescent="0.25">
      <c r="A218" s="3">
        <v>50400</v>
      </c>
      <c r="B218" s="3" t="s">
        <v>259</v>
      </c>
      <c r="D218" t="s">
        <v>1216</v>
      </c>
      <c r="E218" t="s">
        <v>6</v>
      </c>
      <c r="F218" t="s">
        <v>616</v>
      </c>
      <c r="G218" t="s">
        <v>1038</v>
      </c>
      <c r="H218" t="s">
        <v>592</v>
      </c>
      <c r="I218" t="s">
        <v>538</v>
      </c>
      <c r="J218" t="s">
        <v>1039</v>
      </c>
      <c r="L218" s="2">
        <v>0</v>
      </c>
      <c r="M218" s="2">
        <v>7</v>
      </c>
      <c r="N218" t="s">
        <v>388</v>
      </c>
      <c r="O218" t="s">
        <v>1822</v>
      </c>
      <c r="R218" t="s">
        <v>432</v>
      </c>
      <c r="S218">
        <v>275</v>
      </c>
      <c r="T218" t="s">
        <v>260</v>
      </c>
      <c r="U218" s="2" t="s">
        <v>3</v>
      </c>
    </row>
    <row r="219" spans="1:21" hidden="1" x14ac:dyDescent="0.25">
      <c r="A219" s="3">
        <v>1491</v>
      </c>
      <c r="B219" t="s">
        <v>1129</v>
      </c>
      <c r="D219" t="s">
        <v>1305</v>
      </c>
      <c r="E219" t="s">
        <v>1123</v>
      </c>
      <c r="F219" t="s">
        <v>590</v>
      </c>
      <c r="G219" t="s">
        <v>888</v>
      </c>
      <c r="H219" t="s">
        <v>640</v>
      </c>
      <c r="I219" t="s">
        <v>431</v>
      </c>
      <c r="J219" t="s">
        <v>885</v>
      </c>
      <c r="L219" s="7" t="s">
        <v>413</v>
      </c>
      <c r="M219" s="2" t="s">
        <v>413</v>
      </c>
      <c r="N219" t="s">
        <v>388</v>
      </c>
      <c r="O219" t="s">
        <v>1822</v>
      </c>
      <c r="R219" t="s">
        <v>432</v>
      </c>
      <c r="S219">
        <v>129</v>
      </c>
      <c r="T219" t="s">
        <v>1391</v>
      </c>
      <c r="U219" s="2" t="s">
        <v>3</v>
      </c>
    </row>
    <row r="220" spans="1:21" hidden="1" x14ac:dyDescent="0.25">
      <c r="A220" s="3">
        <v>149400</v>
      </c>
      <c r="B220" t="s">
        <v>1131</v>
      </c>
      <c r="D220" t="s">
        <v>1305</v>
      </c>
      <c r="E220" t="s">
        <v>1123</v>
      </c>
      <c r="F220" t="s">
        <v>590</v>
      </c>
      <c r="G220" t="s">
        <v>886</v>
      </c>
      <c r="H220" t="s">
        <v>640</v>
      </c>
      <c r="I220" t="s">
        <v>431</v>
      </c>
      <c r="J220" t="s">
        <v>876</v>
      </c>
      <c r="L220" s="7" t="s">
        <v>413</v>
      </c>
      <c r="M220" s="2" t="s">
        <v>413</v>
      </c>
      <c r="N220" t="s">
        <v>388</v>
      </c>
      <c r="O220" t="s">
        <v>1822</v>
      </c>
      <c r="R220" t="s">
        <v>432</v>
      </c>
      <c r="S220">
        <v>793</v>
      </c>
      <c r="T220" t="s">
        <v>1392</v>
      </c>
      <c r="U220" s="2" t="s">
        <v>3</v>
      </c>
    </row>
    <row r="221" spans="1:21" hidden="1" x14ac:dyDescent="0.25">
      <c r="A221" s="3">
        <v>149600</v>
      </c>
      <c r="B221" t="s">
        <v>1135</v>
      </c>
      <c r="D221" t="s">
        <v>1305</v>
      </c>
      <c r="E221" t="s">
        <v>1123</v>
      </c>
      <c r="F221" t="s">
        <v>590</v>
      </c>
      <c r="G221" t="s">
        <v>890</v>
      </c>
      <c r="H221" t="s">
        <v>592</v>
      </c>
      <c r="I221" t="s">
        <v>431</v>
      </c>
      <c r="J221" t="s">
        <v>881</v>
      </c>
      <c r="L221" s="7" t="s">
        <v>413</v>
      </c>
      <c r="M221" s="2" t="s">
        <v>413</v>
      </c>
      <c r="N221" t="s">
        <v>388</v>
      </c>
      <c r="O221" t="s">
        <v>1822</v>
      </c>
      <c r="R221" t="s">
        <v>432</v>
      </c>
      <c r="S221">
        <v>873</v>
      </c>
      <c r="T221" t="s">
        <v>410</v>
      </c>
      <c r="U221" s="2" t="s">
        <v>3</v>
      </c>
    </row>
    <row r="222" spans="1:21" hidden="1" x14ac:dyDescent="0.25">
      <c r="A222" s="3">
        <v>1499</v>
      </c>
      <c r="B222" t="s">
        <v>1136</v>
      </c>
      <c r="D222" t="s">
        <v>1305</v>
      </c>
      <c r="E222" t="s">
        <v>1123</v>
      </c>
      <c r="F222" t="s">
        <v>590</v>
      </c>
      <c r="G222" t="s">
        <v>887</v>
      </c>
      <c r="H222" t="s">
        <v>592</v>
      </c>
      <c r="I222" t="s">
        <v>431</v>
      </c>
      <c r="J222" t="s">
        <v>881</v>
      </c>
      <c r="L222" s="7" t="s">
        <v>413</v>
      </c>
      <c r="M222" s="2" t="s">
        <v>413</v>
      </c>
      <c r="N222" t="s">
        <v>388</v>
      </c>
      <c r="O222" t="s">
        <v>1822</v>
      </c>
      <c r="R222" t="s">
        <v>432</v>
      </c>
      <c r="S222">
        <v>282</v>
      </c>
      <c r="T222" t="s">
        <v>411</v>
      </c>
      <c r="U222" s="2" t="s">
        <v>3</v>
      </c>
    </row>
    <row r="223" spans="1:21" hidden="1" x14ac:dyDescent="0.25">
      <c r="A223" s="3">
        <v>159500</v>
      </c>
      <c r="B223" t="s">
        <v>1543</v>
      </c>
      <c r="D223" t="s">
        <v>1305</v>
      </c>
      <c r="E223" t="s">
        <v>1123</v>
      </c>
      <c r="F223" t="s">
        <v>590</v>
      </c>
      <c r="K223"/>
      <c r="L223"/>
      <c r="M223" s="2" t="s">
        <v>413</v>
      </c>
      <c r="S223">
        <v>904</v>
      </c>
      <c r="U223" s="2" t="s">
        <v>3</v>
      </c>
    </row>
    <row r="224" spans="1:21" hidden="1" x14ac:dyDescent="0.25">
      <c r="A224" s="23">
        <v>149200</v>
      </c>
      <c r="B224" t="s">
        <v>1545</v>
      </c>
      <c r="D224" t="s">
        <v>1305</v>
      </c>
      <c r="E224" t="s">
        <v>1123</v>
      </c>
      <c r="F224" t="s">
        <v>590</v>
      </c>
      <c r="K224"/>
      <c r="L224"/>
      <c r="M224" s="2" t="s">
        <v>413</v>
      </c>
      <c r="S224">
        <v>896</v>
      </c>
      <c r="U224" s="2" t="s">
        <v>3</v>
      </c>
    </row>
    <row r="225" spans="1:21" hidden="1" x14ac:dyDescent="0.25">
      <c r="A225" s="3">
        <v>159100</v>
      </c>
      <c r="B225" t="s">
        <v>1801</v>
      </c>
      <c r="D225" t="s">
        <v>1797</v>
      </c>
      <c r="E225" t="s">
        <v>1123</v>
      </c>
      <c r="F225" t="s">
        <v>590</v>
      </c>
      <c r="K225"/>
      <c r="L225"/>
      <c r="M225" s="2" t="s">
        <v>413</v>
      </c>
      <c r="S225">
        <v>900</v>
      </c>
      <c r="U225" s="2" t="s">
        <v>3</v>
      </c>
    </row>
    <row r="226" spans="1:21" hidden="1" x14ac:dyDescent="0.25">
      <c r="A226" s="3">
        <v>159400</v>
      </c>
      <c r="B226" t="s">
        <v>1546</v>
      </c>
      <c r="D226" t="s">
        <v>1305</v>
      </c>
      <c r="E226" t="s">
        <v>1123</v>
      </c>
      <c r="F226" t="s">
        <v>590</v>
      </c>
      <c r="K226"/>
      <c r="L226"/>
      <c r="M226" s="2" t="s">
        <v>413</v>
      </c>
      <c r="S226">
        <v>903</v>
      </c>
      <c r="U226" s="2" t="s">
        <v>3</v>
      </c>
    </row>
    <row r="227" spans="1:21" hidden="1" x14ac:dyDescent="0.25">
      <c r="A227" s="3">
        <v>31373</v>
      </c>
      <c r="B227" s="3" t="s">
        <v>242</v>
      </c>
      <c r="D227" t="s">
        <v>1326</v>
      </c>
      <c r="E227" t="s">
        <v>6</v>
      </c>
      <c r="F227" t="s">
        <v>594</v>
      </c>
      <c r="G227" t="s">
        <v>671</v>
      </c>
      <c r="H227" t="s">
        <v>592</v>
      </c>
      <c r="I227" t="s">
        <v>453</v>
      </c>
      <c r="J227" t="s">
        <v>672</v>
      </c>
      <c r="K227" s="9">
        <v>44277</v>
      </c>
      <c r="L227" s="7">
        <v>44277</v>
      </c>
      <c r="M227" s="2">
        <v>3</v>
      </c>
      <c r="N227" t="s">
        <v>389</v>
      </c>
      <c r="O227" t="s">
        <v>1822</v>
      </c>
      <c r="R227" t="s">
        <v>432</v>
      </c>
      <c r="S227">
        <v>838</v>
      </c>
      <c r="T227" t="s">
        <v>243</v>
      </c>
      <c r="U227" s="2" t="s">
        <v>3</v>
      </c>
    </row>
    <row r="228" spans="1:21" hidden="1" x14ac:dyDescent="0.25">
      <c r="A228" s="3">
        <v>31276</v>
      </c>
      <c r="B228" s="3" t="s">
        <v>238</v>
      </c>
      <c r="D228" t="s">
        <v>1326</v>
      </c>
      <c r="E228" t="s">
        <v>6</v>
      </c>
      <c r="F228" t="s">
        <v>594</v>
      </c>
      <c r="G228" t="s">
        <v>688</v>
      </c>
      <c r="H228" t="s">
        <v>592</v>
      </c>
      <c r="I228" t="s">
        <v>458</v>
      </c>
      <c r="J228" t="s">
        <v>689</v>
      </c>
      <c r="L228" s="2">
        <v>0</v>
      </c>
      <c r="M228" s="2">
        <v>5</v>
      </c>
      <c r="N228" t="s">
        <v>389</v>
      </c>
      <c r="O228" t="s">
        <v>1822</v>
      </c>
      <c r="R228" t="s">
        <v>432</v>
      </c>
      <c r="S228">
        <v>742</v>
      </c>
      <c r="T228" t="s">
        <v>239</v>
      </c>
      <c r="U228" s="2" t="s">
        <v>3</v>
      </c>
    </row>
    <row r="229" spans="1:21" hidden="1" x14ac:dyDescent="0.25">
      <c r="A229" s="3">
        <v>31226</v>
      </c>
      <c r="B229" s="3" t="s">
        <v>236</v>
      </c>
      <c r="D229" t="s">
        <v>1326</v>
      </c>
      <c r="E229" t="s">
        <v>6</v>
      </c>
      <c r="F229" t="s">
        <v>594</v>
      </c>
      <c r="G229" t="s">
        <v>741</v>
      </c>
      <c r="H229" t="s">
        <v>592</v>
      </c>
      <c r="I229" t="s">
        <v>473</v>
      </c>
      <c r="J229" t="s">
        <v>742</v>
      </c>
      <c r="L229" s="2">
        <v>0</v>
      </c>
      <c r="M229" s="2">
        <v>5</v>
      </c>
      <c r="N229" t="s">
        <v>389</v>
      </c>
      <c r="O229" t="s">
        <v>1822</v>
      </c>
      <c r="R229" t="s">
        <v>432</v>
      </c>
      <c r="S229">
        <v>743</v>
      </c>
      <c r="T229" t="s">
        <v>237</v>
      </c>
      <c r="U229" s="2" t="s">
        <v>3</v>
      </c>
    </row>
    <row r="230" spans="1:21" hidden="1" x14ac:dyDescent="0.25">
      <c r="A230" s="3">
        <v>3817</v>
      </c>
      <c r="B230" s="3" t="s">
        <v>94</v>
      </c>
      <c r="D230" t="s">
        <v>1326</v>
      </c>
      <c r="E230" t="s">
        <v>6</v>
      </c>
      <c r="F230" t="s">
        <v>594</v>
      </c>
      <c r="G230" t="s">
        <v>800</v>
      </c>
      <c r="H230" t="s">
        <v>640</v>
      </c>
      <c r="I230" t="s">
        <v>490</v>
      </c>
      <c r="J230" t="s">
        <v>801</v>
      </c>
      <c r="L230" s="2">
        <v>0</v>
      </c>
      <c r="M230" s="2">
        <v>5</v>
      </c>
      <c r="N230" t="s">
        <v>389</v>
      </c>
      <c r="O230" t="s">
        <v>1822</v>
      </c>
      <c r="R230" t="s">
        <v>432</v>
      </c>
      <c r="S230">
        <v>208</v>
      </c>
      <c r="T230" t="s">
        <v>95</v>
      </c>
      <c r="U230" s="2" t="s">
        <v>3</v>
      </c>
    </row>
    <row r="231" spans="1:21" hidden="1" x14ac:dyDescent="0.25">
      <c r="A231" s="3">
        <v>3800</v>
      </c>
      <c r="B231" s="3" t="s">
        <v>89</v>
      </c>
      <c r="D231" t="s">
        <v>1326</v>
      </c>
      <c r="E231" t="s">
        <v>6</v>
      </c>
      <c r="F231" t="s">
        <v>594</v>
      </c>
      <c r="G231" t="s">
        <v>813</v>
      </c>
      <c r="H231" t="s">
        <v>814</v>
      </c>
      <c r="I231" t="s">
        <v>495</v>
      </c>
      <c r="J231" t="s">
        <v>815</v>
      </c>
      <c r="L231" s="2">
        <v>0</v>
      </c>
      <c r="M231" s="2">
        <v>4</v>
      </c>
      <c r="N231" t="s">
        <v>389</v>
      </c>
      <c r="O231" t="s">
        <v>1822</v>
      </c>
      <c r="R231" t="s">
        <v>428</v>
      </c>
      <c r="S231">
        <v>96</v>
      </c>
      <c r="T231" t="s">
        <v>90</v>
      </c>
      <c r="U231" s="2" t="s">
        <v>3</v>
      </c>
    </row>
    <row r="232" spans="1:21" hidden="1" x14ac:dyDescent="0.25">
      <c r="A232" s="3">
        <v>3827</v>
      </c>
      <c r="B232" s="3" t="s">
        <v>96</v>
      </c>
      <c r="D232" t="s">
        <v>1326</v>
      </c>
      <c r="E232" t="s">
        <v>6</v>
      </c>
      <c r="F232" t="s">
        <v>594</v>
      </c>
      <c r="G232" t="s">
        <v>1375</v>
      </c>
      <c r="H232" t="s">
        <v>814</v>
      </c>
      <c r="I232" t="s">
        <v>495</v>
      </c>
      <c r="J232" t="s">
        <v>816</v>
      </c>
      <c r="L232" s="2">
        <v>0</v>
      </c>
      <c r="M232" s="2">
        <v>4</v>
      </c>
      <c r="N232" t="s">
        <v>389</v>
      </c>
      <c r="O232" t="s">
        <v>1822</v>
      </c>
      <c r="R232" t="s">
        <v>428</v>
      </c>
      <c r="S232">
        <v>431</v>
      </c>
      <c r="T232" t="s">
        <v>97</v>
      </c>
      <c r="U232" s="2" t="s">
        <v>3</v>
      </c>
    </row>
    <row r="233" spans="1:21" hidden="1" x14ac:dyDescent="0.25">
      <c r="A233" s="3">
        <v>31353</v>
      </c>
      <c r="B233" s="3" t="s">
        <v>1435</v>
      </c>
      <c r="D233" t="s">
        <v>1326</v>
      </c>
      <c r="E233" t="s">
        <v>6</v>
      </c>
      <c r="F233" t="s">
        <v>594</v>
      </c>
      <c r="G233" t="s">
        <v>1063</v>
      </c>
      <c r="H233" t="s">
        <v>592</v>
      </c>
      <c r="I233" t="s">
        <v>547</v>
      </c>
      <c r="J233" t="s">
        <v>1064</v>
      </c>
      <c r="K233" s="9">
        <v>44095</v>
      </c>
      <c r="L233" s="7">
        <v>44095</v>
      </c>
      <c r="M233" s="2">
        <v>5</v>
      </c>
      <c r="N233" t="s">
        <v>389</v>
      </c>
      <c r="O233" t="s">
        <v>1822</v>
      </c>
      <c r="R233" t="s">
        <v>432</v>
      </c>
      <c r="S233">
        <v>752</v>
      </c>
      <c r="T233" t="s">
        <v>241</v>
      </c>
      <c r="U233" s="2" t="s">
        <v>3</v>
      </c>
    </row>
    <row r="234" spans="1:21" hidden="1" x14ac:dyDescent="0.25">
      <c r="A234" s="3">
        <v>200020</v>
      </c>
      <c r="B234" s="3" t="s">
        <v>320</v>
      </c>
      <c r="D234" t="s">
        <v>1326</v>
      </c>
      <c r="E234" t="s">
        <v>6</v>
      </c>
      <c r="F234" t="s">
        <v>594</v>
      </c>
      <c r="G234" t="s">
        <v>1398</v>
      </c>
      <c r="H234" t="s">
        <v>1082</v>
      </c>
      <c r="I234" t="s">
        <v>549</v>
      </c>
      <c r="J234" t="s">
        <v>1399</v>
      </c>
      <c r="K234" s="9">
        <v>44523</v>
      </c>
      <c r="L234" s="7">
        <v>44523</v>
      </c>
      <c r="M234" s="2">
        <v>4</v>
      </c>
      <c r="N234" t="s">
        <v>389</v>
      </c>
      <c r="O234" t="s">
        <v>1822</v>
      </c>
      <c r="R234" t="s">
        <v>432</v>
      </c>
      <c r="S234">
        <v>870</v>
      </c>
      <c r="T234" t="s">
        <v>321</v>
      </c>
      <c r="U234" s="2" t="s">
        <v>3</v>
      </c>
    </row>
    <row r="235" spans="1:21" hidden="1" x14ac:dyDescent="0.25">
      <c r="A235" s="3">
        <v>1402</v>
      </c>
      <c r="B235" s="3" t="s">
        <v>8</v>
      </c>
      <c r="D235" t="s">
        <v>395</v>
      </c>
      <c r="E235" t="s">
        <v>10</v>
      </c>
      <c r="F235" t="s">
        <v>590</v>
      </c>
      <c r="G235" t="s">
        <v>676</v>
      </c>
      <c r="H235" t="s">
        <v>592</v>
      </c>
      <c r="I235" t="s">
        <v>455</v>
      </c>
      <c r="J235" t="s">
        <v>677</v>
      </c>
      <c r="L235" s="2">
        <v>0</v>
      </c>
      <c r="M235" s="2">
        <v>6</v>
      </c>
      <c r="N235" t="s">
        <v>388</v>
      </c>
      <c r="O235" t="s">
        <v>1822</v>
      </c>
      <c r="R235" t="s">
        <v>428</v>
      </c>
      <c r="S235">
        <v>402</v>
      </c>
      <c r="T235" t="s">
        <v>9</v>
      </c>
      <c r="U235" s="2" t="s">
        <v>3</v>
      </c>
    </row>
    <row r="236" spans="1:21" hidden="1" x14ac:dyDescent="0.25">
      <c r="A236" s="3">
        <v>1458</v>
      </c>
      <c r="B236" s="3" t="s">
        <v>61</v>
      </c>
      <c r="D236" t="s">
        <v>395</v>
      </c>
      <c r="E236" t="s">
        <v>10</v>
      </c>
      <c r="F236" t="s">
        <v>590</v>
      </c>
      <c r="G236" t="s">
        <v>678</v>
      </c>
      <c r="H236" t="s">
        <v>679</v>
      </c>
      <c r="I236" t="s">
        <v>455</v>
      </c>
      <c r="J236" t="s">
        <v>680</v>
      </c>
      <c r="L236" s="2">
        <v>0</v>
      </c>
      <c r="M236" s="2">
        <v>4</v>
      </c>
      <c r="N236" t="s">
        <v>388</v>
      </c>
      <c r="O236" t="s">
        <v>1822</v>
      </c>
      <c r="R236" t="s">
        <v>428</v>
      </c>
      <c r="S236">
        <v>284</v>
      </c>
      <c r="T236" t="s">
        <v>62</v>
      </c>
      <c r="U236" s="2" t="s">
        <v>3</v>
      </c>
    </row>
    <row r="237" spans="1:21" hidden="1" x14ac:dyDescent="0.25">
      <c r="A237" s="3">
        <v>1421</v>
      </c>
      <c r="B237" s="3" t="s">
        <v>32</v>
      </c>
      <c r="D237" t="s">
        <v>395</v>
      </c>
      <c r="E237" t="s">
        <v>10</v>
      </c>
      <c r="F237" t="s">
        <v>590</v>
      </c>
      <c r="G237" t="s">
        <v>722</v>
      </c>
      <c r="H237" t="s">
        <v>592</v>
      </c>
      <c r="I237" t="s">
        <v>469</v>
      </c>
      <c r="J237" t="s">
        <v>723</v>
      </c>
      <c r="L237" s="2">
        <v>0</v>
      </c>
      <c r="M237" s="2">
        <v>7</v>
      </c>
      <c r="N237" t="s">
        <v>388</v>
      </c>
      <c r="O237" t="s">
        <v>1822</v>
      </c>
      <c r="R237" t="s">
        <v>432</v>
      </c>
      <c r="S237">
        <v>630</v>
      </c>
      <c r="T237" t="s">
        <v>33</v>
      </c>
      <c r="U237" s="2" t="s">
        <v>3</v>
      </c>
    </row>
    <row r="238" spans="1:21" hidden="1" x14ac:dyDescent="0.25">
      <c r="A238" s="3">
        <v>1476</v>
      </c>
      <c r="B238" s="3" t="s">
        <v>63</v>
      </c>
      <c r="D238" t="s">
        <v>395</v>
      </c>
      <c r="E238" t="s">
        <v>10</v>
      </c>
      <c r="F238" t="s">
        <v>590</v>
      </c>
      <c r="G238" t="s">
        <v>838</v>
      </c>
      <c r="H238" t="s">
        <v>592</v>
      </c>
      <c r="I238" t="s">
        <v>500</v>
      </c>
      <c r="J238" t="s">
        <v>839</v>
      </c>
      <c r="L238" s="2">
        <v>0</v>
      </c>
      <c r="M238" s="2">
        <v>6</v>
      </c>
      <c r="N238" t="s">
        <v>388</v>
      </c>
      <c r="O238" t="s">
        <v>1822</v>
      </c>
      <c r="R238" t="s">
        <v>428</v>
      </c>
      <c r="S238">
        <v>163</v>
      </c>
      <c r="T238" t="s">
        <v>64</v>
      </c>
      <c r="U238" s="2" t="s">
        <v>3</v>
      </c>
    </row>
    <row r="239" spans="1:21" hidden="1" x14ac:dyDescent="0.25">
      <c r="A239" s="3">
        <v>10678</v>
      </c>
      <c r="B239" s="3" t="s">
        <v>1438</v>
      </c>
      <c r="D239" t="s">
        <v>395</v>
      </c>
      <c r="E239" t="s">
        <v>10</v>
      </c>
      <c r="F239" t="s">
        <v>590</v>
      </c>
      <c r="G239" t="s">
        <v>840</v>
      </c>
      <c r="H239" t="s">
        <v>592</v>
      </c>
      <c r="I239" t="s">
        <v>500</v>
      </c>
      <c r="J239" t="s">
        <v>841</v>
      </c>
      <c r="L239" s="2">
        <v>0</v>
      </c>
      <c r="M239" s="2">
        <v>5</v>
      </c>
      <c r="N239" t="s">
        <v>388</v>
      </c>
      <c r="O239" t="s">
        <v>1822</v>
      </c>
      <c r="R239" t="s">
        <v>428</v>
      </c>
      <c r="S239">
        <v>780</v>
      </c>
      <c r="T239" t="s">
        <v>155</v>
      </c>
      <c r="U239" s="2" t="s">
        <v>3</v>
      </c>
    </row>
    <row r="240" spans="1:21" hidden="1" x14ac:dyDescent="0.25">
      <c r="A240" s="3">
        <v>10627</v>
      </c>
      <c r="B240" s="3" t="s">
        <v>150</v>
      </c>
      <c r="D240" t="s">
        <v>395</v>
      </c>
      <c r="E240" t="s">
        <v>10</v>
      </c>
      <c r="F240" t="s">
        <v>590</v>
      </c>
      <c r="G240" t="s">
        <v>1003</v>
      </c>
      <c r="H240" t="s">
        <v>592</v>
      </c>
      <c r="I240" t="s">
        <v>534</v>
      </c>
      <c r="J240" t="s">
        <v>1004</v>
      </c>
      <c r="L240" s="2">
        <v>0</v>
      </c>
      <c r="M240" s="2">
        <v>5</v>
      </c>
      <c r="N240" t="s">
        <v>388</v>
      </c>
      <c r="O240" t="s">
        <v>1822</v>
      </c>
      <c r="R240" t="s">
        <v>428</v>
      </c>
      <c r="S240">
        <v>774</v>
      </c>
      <c r="T240" t="s">
        <v>151</v>
      </c>
      <c r="U240" s="2" t="s">
        <v>3</v>
      </c>
    </row>
    <row r="241" spans="1:21" hidden="1" x14ac:dyDescent="0.25">
      <c r="A241" s="3">
        <v>1418</v>
      </c>
      <c r="B241" s="3" t="s">
        <v>26</v>
      </c>
      <c r="D241" t="s">
        <v>395</v>
      </c>
      <c r="E241" t="s">
        <v>10</v>
      </c>
      <c r="F241" t="s">
        <v>590</v>
      </c>
      <c r="G241" t="s">
        <v>1366</v>
      </c>
      <c r="H241" t="s">
        <v>592</v>
      </c>
      <c r="I241" t="s">
        <v>540</v>
      </c>
      <c r="J241" t="s">
        <v>1042</v>
      </c>
      <c r="L241" s="2">
        <v>0</v>
      </c>
      <c r="M241" s="2">
        <v>5</v>
      </c>
      <c r="N241" t="s">
        <v>388</v>
      </c>
      <c r="O241" t="s">
        <v>1822</v>
      </c>
      <c r="R241" t="s">
        <v>428</v>
      </c>
      <c r="S241">
        <v>418</v>
      </c>
      <c r="T241" t="s">
        <v>27</v>
      </c>
      <c r="U241" s="2" t="s">
        <v>3</v>
      </c>
    </row>
    <row r="242" spans="1:21" hidden="1" x14ac:dyDescent="0.25">
      <c r="A242" s="3">
        <v>1419</v>
      </c>
      <c r="B242" s="3" t="s">
        <v>28</v>
      </c>
      <c r="D242" t="s">
        <v>395</v>
      </c>
      <c r="E242" t="s">
        <v>10</v>
      </c>
      <c r="F242" t="s">
        <v>590</v>
      </c>
      <c r="G242" t="s">
        <v>1043</v>
      </c>
      <c r="H242" t="s">
        <v>592</v>
      </c>
      <c r="I242" t="s">
        <v>540</v>
      </c>
      <c r="J242" t="s">
        <v>1044</v>
      </c>
      <c r="L242" s="2">
        <v>0</v>
      </c>
      <c r="M242" s="2">
        <v>5</v>
      </c>
      <c r="N242" t="s">
        <v>388</v>
      </c>
      <c r="O242" t="s">
        <v>1822</v>
      </c>
      <c r="R242" t="s">
        <v>428</v>
      </c>
      <c r="S242">
        <v>730</v>
      </c>
      <c r="T242" t="s">
        <v>29</v>
      </c>
      <c r="U242" s="2" t="s">
        <v>3</v>
      </c>
    </row>
    <row r="243" spans="1:21" hidden="1" x14ac:dyDescent="0.25">
      <c r="A243" s="3">
        <v>1453</v>
      </c>
      <c r="B243" s="3" t="s">
        <v>59</v>
      </c>
      <c r="D243" t="s">
        <v>395</v>
      </c>
      <c r="E243" t="s">
        <v>10</v>
      </c>
      <c r="F243" t="s">
        <v>590</v>
      </c>
      <c r="G243" t="s">
        <v>648</v>
      </c>
      <c r="H243" t="s">
        <v>592</v>
      </c>
      <c r="I243" t="s">
        <v>445</v>
      </c>
      <c r="J243" t="s">
        <v>649</v>
      </c>
      <c r="L243" s="2">
        <v>0</v>
      </c>
      <c r="M243" s="2">
        <v>5</v>
      </c>
      <c r="N243" t="s">
        <v>388</v>
      </c>
      <c r="O243" t="s">
        <v>1822</v>
      </c>
      <c r="R243" t="s">
        <v>432</v>
      </c>
      <c r="S243">
        <v>136</v>
      </c>
      <c r="T243" t="s">
        <v>60</v>
      </c>
      <c r="U243" s="2" t="s">
        <v>3</v>
      </c>
    </row>
    <row r="244" spans="1:21" hidden="1" x14ac:dyDescent="0.25">
      <c r="A244" s="3">
        <v>1443</v>
      </c>
      <c r="B244" s="3" t="s">
        <v>53</v>
      </c>
      <c r="D244" t="s">
        <v>395</v>
      </c>
      <c r="E244" t="s">
        <v>10</v>
      </c>
      <c r="F244" t="s">
        <v>590</v>
      </c>
      <c r="G244" t="s">
        <v>693</v>
      </c>
      <c r="H244" t="s">
        <v>592</v>
      </c>
      <c r="I244" t="s">
        <v>459</v>
      </c>
      <c r="J244" t="s">
        <v>694</v>
      </c>
      <c r="L244" s="2">
        <v>0</v>
      </c>
      <c r="M244" s="2">
        <v>5</v>
      </c>
      <c r="N244" t="s">
        <v>388</v>
      </c>
      <c r="O244" t="s">
        <v>1822</v>
      </c>
      <c r="R244" t="s">
        <v>432</v>
      </c>
      <c r="S244">
        <v>404</v>
      </c>
      <c r="T244" t="s">
        <v>54</v>
      </c>
      <c r="U244" s="2" t="s">
        <v>3</v>
      </c>
    </row>
    <row r="245" spans="1:21" hidden="1" x14ac:dyDescent="0.25">
      <c r="A245" s="3">
        <v>1437</v>
      </c>
      <c r="B245" s="3" t="s">
        <v>49</v>
      </c>
      <c r="D245" t="s">
        <v>395</v>
      </c>
      <c r="E245" t="s">
        <v>10</v>
      </c>
      <c r="F245" t="s">
        <v>590</v>
      </c>
      <c r="G245" t="s">
        <v>823</v>
      </c>
      <c r="H245" t="s">
        <v>592</v>
      </c>
      <c r="I245" t="s">
        <v>496</v>
      </c>
      <c r="J245" t="s">
        <v>824</v>
      </c>
      <c r="L245" s="2">
        <v>0</v>
      </c>
      <c r="M245" s="2">
        <v>5</v>
      </c>
      <c r="N245" t="s">
        <v>388</v>
      </c>
      <c r="O245" t="s">
        <v>1822</v>
      </c>
      <c r="R245" t="s">
        <v>432</v>
      </c>
      <c r="S245">
        <v>115</v>
      </c>
      <c r="T245" t="s">
        <v>50</v>
      </c>
      <c r="U245" s="2" t="s">
        <v>3</v>
      </c>
    </row>
    <row r="246" spans="1:21" hidden="1" x14ac:dyDescent="0.25">
      <c r="A246" s="3">
        <v>1439</v>
      </c>
      <c r="B246" s="3" t="s">
        <v>51</v>
      </c>
      <c r="D246" t="s">
        <v>395</v>
      </c>
      <c r="E246" t="s">
        <v>10</v>
      </c>
      <c r="F246" t="s">
        <v>590</v>
      </c>
      <c r="G246" t="s">
        <v>865</v>
      </c>
      <c r="H246" t="s">
        <v>592</v>
      </c>
      <c r="I246" t="s">
        <v>866</v>
      </c>
      <c r="J246" t="s">
        <v>867</v>
      </c>
      <c r="L246" s="2">
        <v>0</v>
      </c>
      <c r="M246" s="2">
        <v>3</v>
      </c>
      <c r="N246" t="s">
        <v>388</v>
      </c>
      <c r="O246" t="s">
        <v>1821</v>
      </c>
      <c r="R246" t="s">
        <v>381</v>
      </c>
      <c r="S246">
        <v>112</v>
      </c>
      <c r="T246" t="s">
        <v>52</v>
      </c>
      <c r="U246" s="2" t="s">
        <v>3</v>
      </c>
    </row>
    <row r="247" spans="1:21" hidden="1" x14ac:dyDescent="0.25">
      <c r="A247" s="3">
        <v>1417</v>
      </c>
      <c r="B247" s="3" t="s">
        <v>24</v>
      </c>
      <c r="D247" t="s">
        <v>67</v>
      </c>
      <c r="E247" t="s">
        <v>10</v>
      </c>
      <c r="F247" t="s">
        <v>590</v>
      </c>
      <c r="G247" t="s">
        <v>1001</v>
      </c>
      <c r="H247" t="s">
        <v>592</v>
      </c>
      <c r="I247" t="s">
        <v>534</v>
      </c>
      <c r="J247" t="s">
        <v>1002</v>
      </c>
      <c r="L247" s="2">
        <v>0</v>
      </c>
      <c r="M247" s="2">
        <v>5</v>
      </c>
      <c r="N247" t="s">
        <v>388</v>
      </c>
      <c r="O247" t="s">
        <v>1822</v>
      </c>
      <c r="R247" t="s">
        <v>428</v>
      </c>
      <c r="S247">
        <v>417</v>
      </c>
      <c r="T247" t="s">
        <v>25</v>
      </c>
      <c r="U247" s="2" t="s">
        <v>3</v>
      </c>
    </row>
    <row r="248" spans="1:21" ht="15" hidden="1" customHeight="1" x14ac:dyDescent="0.25">
      <c r="A248" s="3">
        <v>1405</v>
      </c>
      <c r="B248" s="3" t="s">
        <v>14</v>
      </c>
      <c r="D248" t="s">
        <v>67</v>
      </c>
      <c r="E248" t="s">
        <v>10</v>
      </c>
      <c r="F248" t="s">
        <v>590</v>
      </c>
      <c r="G248" t="s">
        <v>752</v>
      </c>
      <c r="H248" t="s">
        <v>592</v>
      </c>
      <c r="I248" t="s">
        <v>476</v>
      </c>
      <c r="J248" t="s">
        <v>753</v>
      </c>
      <c r="L248" s="2">
        <v>0</v>
      </c>
      <c r="M248" s="2">
        <v>4</v>
      </c>
      <c r="N248" t="s">
        <v>388</v>
      </c>
      <c r="O248" t="s">
        <v>1822</v>
      </c>
      <c r="R248" t="s">
        <v>432</v>
      </c>
      <c r="S248">
        <v>620</v>
      </c>
      <c r="T248" t="s">
        <v>15</v>
      </c>
      <c r="U248" s="2" t="s">
        <v>3</v>
      </c>
    </row>
    <row r="249" spans="1:21" ht="15" hidden="1" customHeight="1" x14ac:dyDescent="0.25">
      <c r="A249" s="3">
        <v>601055</v>
      </c>
      <c r="B249" s="3" t="s">
        <v>351</v>
      </c>
      <c r="D249" t="s">
        <v>67</v>
      </c>
      <c r="E249" t="s">
        <v>10</v>
      </c>
      <c r="F249" t="s">
        <v>590</v>
      </c>
      <c r="G249" t="s">
        <v>893</v>
      </c>
      <c r="H249" t="s">
        <v>894</v>
      </c>
      <c r="I249" t="s">
        <v>431</v>
      </c>
      <c r="J249" t="s">
        <v>895</v>
      </c>
      <c r="K249" s="9">
        <v>44524</v>
      </c>
      <c r="L249" s="7">
        <v>44524</v>
      </c>
      <c r="M249" s="2">
        <v>5</v>
      </c>
      <c r="N249" t="s">
        <v>388</v>
      </c>
      <c r="O249" t="s">
        <v>1822</v>
      </c>
      <c r="R249" t="s">
        <v>428</v>
      </c>
      <c r="S249">
        <v>462</v>
      </c>
      <c r="T249" t="s">
        <v>352</v>
      </c>
      <c r="U249" s="2" t="s">
        <v>3</v>
      </c>
    </row>
    <row r="250" spans="1:21" hidden="1" x14ac:dyDescent="0.25">
      <c r="A250" s="3">
        <v>601057</v>
      </c>
      <c r="B250" s="3" t="s">
        <v>353</v>
      </c>
      <c r="D250" t="s">
        <v>67</v>
      </c>
      <c r="E250" t="s">
        <v>10</v>
      </c>
      <c r="F250" t="s">
        <v>590</v>
      </c>
      <c r="G250" t="s">
        <v>899</v>
      </c>
      <c r="H250" t="s">
        <v>900</v>
      </c>
      <c r="I250" t="s">
        <v>431</v>
      </c>
      <c r="J250" t="s">
        <v>901</v>
      </c>
      <c r="K250" s="9">
        <v>44617</v>
      </c>
      <c r="L250" s="7">
        <v>44617</v>
      </c>
      <c r="M250" s="2">
        <v>7</v>
      </c>
      <c r="N250" t="s">
        <v>388</v>
      </c>
      <c r="O250" t="s">
        <v>1821</v>
      </c>
      <c r="R250" t="s">
        <v>381</v>
      </c>
      <c r="S250">
        <v>472</v>
      </c>
      <c r="T250" t="s">
        <v>353</v>
      </c>
      <c r="U250" s="2" t="s">
        <v>3</v>
      </c>
    </row>
    <row r="251" spans="1:21" hidden="1" x14ac:dyDescent="0.25">
      <c r="A251" s="3">
        <v>1436</v>
      </c>
      <c r="B251" s="3" t="s">
        <v>48</v>
      </c>
      <c r="D251" t="s">
        <v>67</v>
      </c>
      <c r="E251" t="s">
        <v>10</v>
      </c>
      <c r="F251" t="s">
        <v>590</v>
      </c>
      <c r="G251" t="s">
        <v>657</v>
      </c>
      <c r="H251" t="s">
        <v>592</v>
      </c>
      <c r="I251" t="s">
        <v>448</v>
      </c>
      <c r="J251" t="s">
        <v>658</v>
      </c>
      <c r="L251" s="2">
        <v>0</v>
      </c>
      <c r="M251" s="2">
        <v>3</v>
      </c>
      <c r="N251" t="s">
        <v>388</v>
      </c>
      <c r="O251" t="s">
        <v>1822</v>
      </c>
      <c r="R251" t="s">
        <v>432</v>
      </c>
      <c r="S251">
        <v>111</v>
      </c>
      <c r="T251" t="s">
        <v>48</v>
      </c>
      <c r="U251" s="2" t="s">
        <v>3</v>
      </c>
    </row>
    <row r="252" spans="1:21" hidden="1" x14ac:dyDescent="0.25">
      <c r="A252" s="3">
        <v>1478</v>
      </c>
      <c r="B252" s="3" t="s">
        <v>65</v>
      </c>
      <c r="D252" t="s">
        <v>67</v>
      </c>
      <c r="E252" t="s">
        <v>10</v>
      </c>
      <c r="F252" t="s">
        <v>590</v>
      </c>
      <c r="G252" t="s">
        <v>859</v>
      </c>
      <c r="H252" t="s">
        <v>592</v>
      </c>
      <c r="I252" t="s">
        <v>508</v>
      </c>
      <c r="J252" t="s">
        <v>860</v>
      </c>
      <c r="L252" s="2">
        <v>0</v>
      </c>
      <c r="M252" s="2">
        <v>5</v>
      </c>
      <c r="N252" t="s">
        <v>388</v>
      </c>
      <c r="O252" t="s">
        <v>1822</v>
      </c>
      <c r="R252" t="s">
        <v>432</v>
      </c>
      <c r="S252">
        <v>39</v>
      </c>
      <c r="T252" t="s">
        <v>66</v>
      </c>
      <c r="U252" s="2" t="s">
        <v>3</v>
      </c>
    </row>
    <row r="253" spans="1:21" hidden="1" x14ac:dyDescent="0.25">
      <c r="A253" s="3">
        <v>10200</v>
      </c>
      <c r="B253" s="3" t="s">
        <v>131</v>
      </c>
      <c r="D253" t="s">
        <v>67</v>
      </c>
      <c r="E253" t="s">
        <v>10</v>
      </c>
      <c r="F253" t="s">
        <v>590</v>
      </c>
      <c r="G253" t="s">
        <v>927</v>
      </c>
      <c r="H253" t="s">
        <v>592</v>
      </c>
      <c r="I253" t="s">
        <v>517</v>
      </c>
      <c r="J253" t="s">
        <v>928</v>
      </c>
      <c r="L253" s="2">
        <v>0</v>
      </c>
      <c r="M253" s="2">
        <v>3</v>
      </c>
      <c r="N253" t="s">
        <v>388</v>
      </c>
      <c r="O253" t="s">
        <v>1822</v>
      </c>
      <c r="R253" t="s">
        <v>432</v>
      </c>
      <c r="S253">
        <v>419</v>
      </c>
      <c r="T253" t="s">
        <v>132</v>
      </c>
      <c r="U253" s="2" t="s">
        <v>3</v>
      </c>
    </row>
    <row r="254" spans="1:21" hidden="1" x14ac:dyDescent="0.25">
      <c r="A254" s="3">
        <v>1490</v>
      </c>
      <c r="B254" s="3" t="s">
        <v>72</v>
      </c>
      <c r="D254" t="s">
        <v>67</v>
      </c>
      <c r="E254" t="s">
        <v>10</v>
      </c>
      <c r="F254" t="s">
        <v>590</v>
      </c>
      <c r="G254" t="s">
        <v>1376</v>
      </c>
      <c r="H254" t="s">
        <v>1005</v>
      </c>
      <c r="I254" t="s">
        <v>535</v>
      </c>
      <c r="J254" t="s">
        <v>1006</v>
      </c>
      <c r="L254" s="2">
        <v>0</v>
      </c>
      <c r="M254" s="2">
        <v>3</v>
      </c>
      <c r="N254" t="s">
        <v>388</v>
      </c>
      <c r="O254" t="s">
        <v>1822</v>
      </c>
      <c r="R254" t="s">
        <v>432</v>
      </c>
      <c r="S254">
        <v>205</v>
      </c>
      <c r="T254" t="s">
        <v>73</v>
      </c>
      <c r="U254" s="2" t="s">
        <v>3</v>
      </c>
    </row>
    <row r="255" spans="1:21" hidden="1" x14ac:dyDescent="0.25">
      <c r="A255" s="3">
        <v>1422</v>
      </c>
      <c r="B255" s="3" t="s">
        <v>34</v>
      </c>
      <c r="D255" t="s">
        <v>67</v>
      </c>
      <c r="E255" t="s">
        <v>10</v>
      </c>
      <c r="F255" t="s">
        <v>590</v>
      </c>
      <c r="G255" t="s">
        <v>1053</v>
      </c>
      <c r="H255" t="s">
        <v>592</v>
      </c>
      <c r="I255" t="s">
        <v>1054</v>
      </c>
      <c r="J255" t="s">
        <v>1055</v>
      </c>
      <c r="L255" s="2">
        <v>0</v>
      </c>
      <c r="M255" s="2">
        <v>3</v>
      </c>
      <c r="N255" t="s">
        <v>388</v>
      </c>
      <c r="O255" t="s">
        <v>1821</v>
      </c>
      <c r="R255" t="s">
        <v>381</v>
      </c>
      <c r="S255">
        <v>54</v>
      </c>
      <c r="T255" t="s">
        <v>35</v>
      </c>
      <c r="U255" s="2" t="s">
        <v>3</v>
      </c>
    </row>
    <row r="256" spans="1:21" hidden="1" x14ac:dyDescent="0.25">
      <c r="A256" s="3">
        <v>94390</v>
      </c>
      <c r="B256" s="3" t="s">
        <v>1448</v>
      </c>
      <c r="D256" t="s">
        <v>67</v>
      </c>
      <c r="E256" t="s">
        <v>10</v>
      </c>
      <c r="F256" t="s">
        <v>590</v>
      </c>
      <c r="K256"/>
      <c r="L256"/>
      <c r="M256" s="2">
        <v>5</v>
      </c>
      <c r="S256">
        <v>510</v>
      </c>
      <c r="U256" s="2" t="s">
        <v>3</v>
      </c>
    </row>
    <row r="257" spans="1:22" hidden="1" x14ac:dyDescent="0.25">
      <c r="A257" s="3">
        <v>81006</v>
      </c>
      <c r="B257" s="3" t="s">
        <v>314</v>
      </c>
      <c r="D257" t="s">
        <v>1145</v>
      </c>
      <c r="E257" t="s">
        <v>122</v>
      </c>
      <c r="F257" t="s">
        <v>684</v>
      </c>
      <c r="G257" t="s">
        <v>1377</v>
      </c>
      <c r="H257" t="s">
        <v>904</v>
      </c>
      <c r="I257" t="s">
        <v>512</v>
      </c>
      <c r="J257" t="s">
        <v>905</v>
      </c>
      <c r="K257" s="9">
        <v>44285</v>
      </c>
      <c r="L257" s="7">
        <v>44285</v>
      </c>
      <c r="M257" s="2">
        <v>3</v>
      </c>
      <c r="N257" t="s">
        <v>389</v>
      </c>
      <c r="O257" t="s">
        <v>1822</v>
      </c>
      <c r="R257" t="s">
        <v>428</v>
      </c>
      <c r="S257">
        <v>822</v>
      </c>
      <c r="T257" t="s">
        <v>315</v>
      </c>
      <c r="U257" s="2" t="s">
        <v>3</v>
      </c>
    </row>
    <row r="258" spans="1:22" hidden="1" x14ac:dyDescent="0.25">
      <c r="A258" s="3">
        <v>18936</v>
      </c>
      <c r="B258" s="3" t="s">
        <v>184</v>
      </c>
      <c r="D258" t="s">
        <v>1145</v>
      </c>
      <c r="E258" t="s">
        <v>122</v>
      </c>
      <c r="F258" t="s">
        <v>629</v>
      </c>
      <c r="G258" t="s">
        <v>630</v>
      </c>
      <c r="H258" t="s">
        <v>592</v>
      </c>
      <c r="I258" t="s">
        <v>442</v>
      </c>
      <c r="J258" t="s">
        <v>631</v>
      </c>
      <c r="K258" s="9">
        <v>44361</v>
      </c>
      <c r="L258" s="7">
        <v>44361</v>
      </c>
      <c r="M258" s="2">
        <v>3</v>
      </c>
      <c r="N258" t="s">
        <v>389</v>
      </c>
      <c r="O258" t="s">
        <v>1822</v>
      </c>
      <c r="R258" t="s">
        <v>432</v>
      </c>
      <c r="S258">
        <v>824</v>
      </c>
      <c r="T258" t="s">
        <v>184</v>
      </c>
      <c r="U258" s="2" t="s">
        <v>3</v>
      </c>
    </row>
    <row r="259" spans="1:22" hidden="1" x14ac:dyDescent="0.25">
      <c r="A259" s="3">
        <v>18105</v>
      </c>
      <c r="B259" s="3" t="s">
        <v>180</v>
      </c>
      <c r="D259" t="s">
        <v>1145</v>
      </c>
      <c r="E259" t="s">
        <v>122</v>
      </c>
      <c r="F259" t="s">
        <v>629</v>
      </c>
      <c r="G259" t="s">
        <v>659</v>
      </c>
      <c r="H259" t="s">
        <v>592</v>
      </c>
      <c r="I259" t="s">
        <v>449</v>
      </c>
      <c r="J259" t="s">
        <v>660</v>
      </c>
      <c r="L259" s="2">
        <v>0</v>
      </c>
      <c r="M259" s="2">
        <v>4</v>
      </c>
      <c r="N259" t="s">
        <v>389</v>
      </c>
      <c r="O259" t="s">
        <v>1822</v>
      </c>
      <c r="R259" t="s">
        <v>432</v>
      </c>
      <c r="S259">
        <v>719</v>
      </c>
      <c r="T259" t="s">
        <v>181</v>
      </c>
      <c r="U259" s="2" t="s">
        <v>3</v>
      </c>
    </row>
    <row r="260" spans="1:22" hidden="1" x14ac:dyDescent="0.25">
      <c r="A260" s="3">
        <v>80969</v>
      </c>
      <c r="B260" s="3" t="s">
        <v>1440</v>
      </c>
      <c r="D260" t="s">
        <v>1145</v>
      </c>
      <c r="E260" t="s">
        <v>122</v>
      </c>
      <c r="F260" t="s">
        <v>684</v>
      </c>
      <c r="G260" t="s">
        <v>685</v>
      </c>
      <c r="H260" t="s">
        <v>686</v>
      </c>
      <c r="I260" t="s">
        <v>457</v>
      </c>
      <c r="J260" t="s">
        <v>687</v>
      </c>
      <c r="L260" s="2">
        <v>0</v>
      </c>
      <c r="M260" s="2">
        <v>4</v>
      </c>
      <c r="N260" t="s">
        <v>389</v>
      </c>
      <c r="O260" t="s">
        <v>1822</v>
      </c>
      <c r="R260" t="s">
        <v>432</v>
      </c>
      <c r="S260">
        <v>739</v>
      </c>
      <c r="T260" t="s">
        <v>313</v>
      </c>
      <c r="U260" s="2" t="s">
        <v>3</v>
      </c>
    </row>
    <row r="261" spans="1:22" hidden="1" x14ac:dyDescent="0.25">
      <c r="A261" s="3">
        <v>81075</v>
      </c>
      <c r="B261" s="3" t="s">
        <v>316</v>
      </c>
      <c r="D261" t="s">
        <v>1145</v>
      </c>
      <c r="E261" t="s">
        <v>122</v>
      </c>
      <c r="F261" t="s">
        <v>629</v>
      </c>
      <c r="G261" t="s">
        <v>777</v>
      </c>
      <c r="H261" t="s">
        <v>778</v>
      </c>
      <c r="I261" t="s">
        <v>483</v>
      </c>
      <c r="J261" t="s">
        <v>779</v>
      </c>
      <c r="K261" s="9">
        <v>44704</v>
      </c>
      <c r="L261" s="7">
        <v>44704</v>
      </c>
      <c r="M261" s="2">
        <v>4</v>
      </c>
      <c r="N261" t="s">
        <v>389</v>
      </c>
      <c r="O261" t="s">
        <v>1821</v>
      </c>
      <c r="R261" t="s">
        <v>381</v>
      </c>
      <c r="S261">
        <v>465</v>
      </c>
      <c r="T261" t="s">
        <v>183</v>
      </c>
      <c r="U261" s="2" t="s">
        <v>3</v>
      </c>
    </row>
    <row r="262" spans="1:22" hidden="1" x14ac:dyDescent="0.25">
      <c r="A262" s="3">
        <v>18900</v>
      </c>
      <c r="B262" s="3" t="s">
        <v>182</v>
      </c>
      <c r="D262" t="s">
        <v>1145</v>
      </c>
      <c r="E262" t="s">
        <v>122</v>
      </c>
      <c r="F262" t="s">
        <v>629</v>
      </c>
      <c r="G262" t="s">
        <v>780</v>
      </c>
      <c r="H262" t="s">
        <v>592</v>
      </c>
      <c r="I262" t="s">
        <v>483</v>
      </c>
      <c r="J262" t="s">
        <v>781</v>
      </c>
      <c r="L262" s="2">
        <v>0</v>
      </c>
      <c r="M262" s="2">
        <v>6</v>
      </c>
      <c r="N262" t="s">
        <v>389</v>
      </c>
      <c r="O262" t="s">
        <v>1822</v>
      </c>
      <c r="P262" t="s">
        <v>380</v>
      </c>
      <c r="R262" t="s">
        <v>428</v>
      </c>
      <c r="S262">
        <v>267</v>
      </c>
      <c r="T262" t="s">
        <v>183</v>
      </c>
      <c r="U262" s="2" t="s">
        <v>3</v>
      </c>
      <c r="V262" t="s">
        <v>3</v>
      </c>
    </row>
    <row r="263" spans="1:22" hidden="1" x14ac:dyDescent="0.25">
      <c r="A263" s="3">
        <v>18937</v>
      </c>
      <c r="B263" s="3" t="s">
        <v>1436</v>
      </c>
      <c r="D263" t="s">
        <v>1145</v>
      </c>
      <c r="E263" t="s">
        <v>122</v>
      </c>
      <c r="F263" t="s">
        <v>629</v>
      </c>
      <c r="G263" t="s">
        <v>782</v>
      </c>
      <c r="H263" t="s">
        <v>783</v>
      </c>
      <c r="I263" t="s">
        <v>483</v>
      </c>
      <c r="J263" t="s">
        <v>784</v>
      </c>
      <c r="K263" s="9">
        <v>44419</v>
      </c>
      <c r="L263" s="7">
        <v>44419</v>
      </c>
      <c r="M263" s="2">
        <v>4</v>
      </c>
      <c r="N263" t="s">
        <v>389</v>
      </c>
      <c r="O263" t="s">
        <v>1822</v>
      </c>
      <c r="P263" t="s">
        <v>380</v>
      </c>
      <c r="R263" t="s">
        <v>428</v>
      </c>
      <c r="S263">
        <v>864</v>
      </c>
      <c r="T263" t="s">
        <v>185</v>
      </c>
      <c r="U263" s="2" t="s">
        <v>3</v>
      </c>
    </row>
    <row r="264" spans="1:22" hidden="1" x14ac:dyDescent="0.25">
      <c r="A264" s="3">
        <v>14900</v>
      </c>
      <c r="B264" s="3" t="s">
        <v>1165</v>
      </c>
      <c r="D264" t="s">
        <v>1145</v>
      </c>
      <c r="E264" t="s">
        <v>122</v>
      </c>
      <c r="F264" t="s">
        <v>828</v>
      </c>
      <c r="G264" t="s">
        <v>829</v>
      </c>
      <c r="H264" t="s">
        <v>592</v>
      </c>
      <c r="I264" t="s">
        <v>497</v>
      </c>
      <c r="J264" t="s">
        <v>830</v>
      </c>
      <c r="L264" s="2">
        <v>0</v>
      </c>
      <c r="M264" s="2">
        <v>4</v>
      </c>
      <c r="N264" t="s">
        <v>389</v>
      </c>
      <c r="O264" t="s">
        <v>1822</v>
      </c>
      <c r="P264" t="s">
        <v>380</v>
      </c>
      <c r="R264" t="s">
        <v>428</v>
      </c>
      <c r="S264">
        <v>281</v>
      </c>
      <c r="T264" t="s">
        <v>168</v>
      </c>
      <c r="U264" s="2" t="s">
        <v>3</v>
      </c>
    </row>
    <row r="265" spans="1:22" hidden="1" x14ac:dyDescent="0.25">
      <c r="A265" s="3">
        <v>14932</v>
      </c>
      <c r="B265" s="3" t="s">
        <v>1164</v>
      </c>
      <c r="D265" t="s">
        <v>1145</v>
      </c>
      <c r="E265" t="s">
        <v>122</v>
      </c>
      <c r="F265" t="s">
        <v>828</v>
      </c>
      <c r="G265" t="s">
        <v>831</v>
      </c>
      <c r="H265" t="s">
        <v>832</v>
      </c>
      <c r="I265" t="s">
        <v>497</v>
      </c>
      <c r="J265" t="s">
        <v>833</v>
      </c>
      <c r="L265" s="2">
        <v>0</v>
      </c>
      <c r="M265" s="2">
        <v>4</v>
      </c>
      <c r="N265" t="s">
        <v>389</v>
      </c>
      <c r="O265" t="s">
        <v>1822</v>
      </c>
      <c r="P265" t="s">
        <v>380</v>
      </c>
      <c r="R265" t="s">
        <v>428</v>
      </c>
      <c r="S265">
        <v>737</v>
      </c>
      <c r="T265" t="s">
        <v>169</v>
      </c>
      <c r="U265" s="2" t="s">
        <v>3</v>
      </c>
      <c r="V265" t="s">
        <v>3</v>
      </c>
    </row>
    <row r="266" spans="1:22" hidden="1" x14ac:dyDescent="0.25">
      <c r="A266" s="3">
        <v>8399</v>
      </c>
      <c r="B266" s="3" t="s">
        <v>120</v>
      </c>
      <c r="D266" t="s">
        <v>1145</v>
      </c>
      <c r="E266" t="s">
        <v>122</v>
      </c>
      <c r="F266" t="s">
        <v>684</v>
      </c>
      <c r="G266" t="s">
        <v>906</v>
      </c>
      <c r="H266" t="s">
        <v>907</v>
      </c>
      <c r="I266" t="s">
        <v>512</v>
      </c>
      <c r="J266" t="s">
        <v>908</v>
      </c>
      <c r="L266" s="2">
        <v>0</v>
      </c>
      <c r="M266" s="2">
        <v>8</v>
      </c>
      <c r="N266" t="s">
        <v>389</v>
      </c>
      <c r="O266" t="s">
        <v>1822</v>
      </c>
      <c r="P266" t="s">
        <v>380</v>
      </c>
      <c r="R266" t="s">
        <v>428</v>
      </c>
      <c r="S266">
        <v>75</v>
      </c>
      <c r="T266" t="s">
        <v>121</v>
      </c>
      <c r="U266" s="2" t="s">
        <v>3</v>
      </c>
      <c r="V266" t="s">
        <v>3</v>
      </c>
    </row>
    <row r="267" spans="1:22" hidden="1" x14ac:dyDescent="0.25">
      <c r="A267" s="3">
        <v>96715</v>
      </c>
      <c r="B267" s="3" t="s">
        <v>1162</v>
      </c>
      <c r="D267" t="s">
        <v>1145</v>
      </c>
      <c r="E267" t="s">
        <v>122</v>
      </c>
      <c r="F267" t="s">
        <v>629</v>
      </c>
      <c r="G267" t="s">
        <v>1389</v>
      </c>
      <c r="H267" t="s">
        <v>592</v>
      </c>
      <c r="I267" t="s">
        <v>1401</v>
      </c>
      <c r="J267" t="s">
        <v>1402</v>
      </c>
      <c r="M267" s="2">
        <v>3</v>
      </c>
      <c r="O267" t="s">
        <v>1822</v>
      </c>
      <c r="P267" t="s">
        <v>380</v>
      </c>
      <c r="Q267" t="s">
        <v>381</v>
      </c>
      <c r="S267">
        <v>514</v>
      </c>
      <c r="U267" s="2" t="s">
        <v>3</v>
      </c>
    </row>
    <row r="268" spans="1:22" hidden="1" x14ac:dyDescent="0.25">
      <c r="A268" s="3">
        <v>7769</v>
      </c>
      <c r="B268" s="3" t="s">
        <v>1800</v>
      </c>
      <c r="D268" t="s">
        <v>1291</v>
      </c>
      <c r="E268" t="s">
        <v>122</v>
      </c>
      <c r="F268" t="s">
        <v>638</v>
      </c>
      <c r="M268" s="2">
        <v>3</v>
      </c>
      <c r="O268" t="s">
        <v>1822</v>
      </c>
      <c r="P268" t="s">
        <v>380</v>
      </c>
      <c r="Q268" t="s">
        <v>381</v>
      </c>
      <c r="U268" s="2" t="s">
        <v>3</v>
      </c>
    </row>
    <row r="269" spans="1:22" hidden="1" x14ac:dyDescent="0.25">
      <c r="A269" s="3">
        <v>61050</v>
      </c>
      <c r="B269" s="3" t="s">
        <v>1803</v>
      </c>
      <c r="D269" t="s">
        <v>1120</v>
      </c>
      <c r="E269" t="s">
        <v>251</v>
      </c>
      <c r="F269" t="s">
        <v>603</v>
      </c>
      <c r="M269" s="2">
        <v>3</v>
      </c>
      <c r="O269" t="s">
        <v>1822</v>
      </c>
      <c r="P269" t="s">
        <v>380</v>
      </c>
      <c r="Q269" t="s">
        <v>381</v>
      </c>
      <c r="U269" s="2" t="s">
        <v>3</v>
      </c>
    </row>
    <row r="270" spans="1:22" hidden="1" x14ac:dyDescent="0.25">
      <c r="A270" s="3">
        <v>7768</v>
      </c>
      <c r="B270" s="3" t="s">
        <v>1804</v>
      </c>
      <c r="D270" t="s">
        <v>1290</v>
      </c>
      <c r="E270" t="s">
        <v>122</v>
      </c>
      <c r="F270" t="s">
        <v>937</v>
      </c>
      <c r="M270" s="2">
        <v>3</v>
      </c>
      <c r="O270" t="s">
        <v>1822</v>
      </c>
      <c r="P270" t="s">
        <v>380</v>
      </c>
      <c r="Q270" t="s">
        <v>381</v>
      </c>
      <c r="U270" s="2" t="s">
        <v>3</v>
      </c>
    </row>
    <row r="271" spans="1:22" hidden="1" x14ac:dyDescent="0.25">
      <c r="A271" s="3">
        <v>7770</v>
      </c>
      <c r="B271" s="3" t="s">
        <v>1805</v>
      </c>
      <c r="D271" t="s">
        <v>1291</v>
      </c>
      <c r="E271" t="s">
        <v>122</v>
      </c>
      <c r="F271" t="s">
        <v>937</v>
      </c>
      <c r="M271" s="2">
        <v>5</v>
      </c>
      <c r="O271" t="s">
        <v>1822</v>
      </c>
      <c r="P271" t="s">
        <v>380</v>
      </c>
      <c r="Q271" t="s">
        <v>381</v>
      </c>
      <c r="U271" s="2" t="s">
        <v>3</v>
      </c>
    </row>
    <row r="272" spans="1:22" hidden="1" x14ac:dyDescent="0.25">
      <c r="A272" s="3">
        <v>25018</v>
      </c>
      <c r="B272" s="3" t="s">
        <v>1806</v>
      </c>
      <c r="D272" t="s">
        <v>1810</v>
      </c>
      <c r="E272" t="s">
        <v>165</v>
      </c>
      <c r="F272" t="s">
        <v>1807</v>
      </c>
      <c r="M272" s="2">
        <v>3</v>
      </c>
      <c r="O272" t="s">
        <v>1822</v>
      </c>
      <c r="P272" t="s">
        <v>380</v>
      </c>
      <c r="Q272" t="s">
        <v>381</v>
      </c>
      <c r="U272" s="2" t="s">
        <v>3</v>
      </c>
    </row>
    <row r="273" spans="1:21" hidden="1" x14ac:dyDescent="0.25">
      <c r="A273" s="3">
        <v>25017</v>
      </c>
      <c r="B273" s="3" t="s">
        <v>1808</v>
      </c>
      <c r="D273" t="s">
        <v>1810</v>
      </c>
      <c r="E273" t="s">
        <v>165</v>
      </c>
      <c r="F273" t="s">
        <v>1807</v>
      </c>
      <c r="M273" s="2">
        <v>4</v>
      </c>
      <c r="O273" t="s">
        <v>1822</v>
      </c>
      <c r="P273" t="s">
        <v>380</v>
      </c>
      <c r="Q273" t="s">
        <v>381</v>
      </c>
      <c r="U273" s="2" t="s">
        <v>3</v>
      </c>
    </row>
    <row r="274" spans="1:21" hidden="1" x14ac:dyDescent="0.25">
      <c r="A274" s="3">
        <v>25021</v>
      </c>
      <c r="B274" s="3" t="s">
        <v>1809</v>
      </c>
      <c r="D274" t="s">
        <v>1810</v>
      </c>
      <c r="E274" t="s">
        <v>165</v>
      </c>
      <c r="F274" t="s">
        <v>1807</v>
      </c>
      <c r="M274" s="2">
        <v>3</v>
      </c>
      <c r="O274" t="s">
        <v>1822</v>
      </c>
      <c r="P274" t="s">
        <v>380</v>
      </c>
      <c r="Q274" t="s">
        <v>381</v>
      </c>
      <c r="U274" s="2" t="s">
        <v>3</v>
      </c>
    </row>
    <row r="275" spans="1:21" hidden="1" x14ac:dyDescent="0.25">
      <c r="A275" s="3">
        <v>600099</v>
      </c>
      <c r="B275" s="3" t="s">
        <v>1811</v>
      </c>
      <c r="D275" t="s">
        <v>1816</v>
      </c>
      <c r="E275" t="s">
        <v>165</v>
      </c>
      <c r="F275" t="s">
        <v>598</v>
      </c>
      <c r="M275" s="2">
        <v>5</v>
      </c>
      <c r="O275" t="s">
        <v>1822</v>
      </c>
      <c r="P275" t="s">
        <v>380</v>
      </c>
      <c r="Q275" t="s">
        <v>381</v>
      </c>
      <c r="U275" s="2" t="s">
        <v>3</v>
      </c>
    </row>
    <row r="276" spans="1:21" hidden="1" x14ac:dyDescent="0.25">
      <c r="A276" s="3">
        <v>13980</v>
      </c>
      <c r="B276" s="3" t="s">
        <v>1812</v>
      </c>
      <c r="D276" t="s">
        <v>1816</v>
      </c>
      <c r="E276" t="s">
        <v>165</v>
      </c>
      <c r="F276" t="s">
        <v>845</v>
      </c>
      <c r="M276" s="2">
        <v>4</v>
      </c>
      <c r="O276" t="s">
        <v>1822</v>
      </c>
      <c r="P276" t="s">
        <v>380</v>
      </c>
      <c r="Q276" t="s">
        <v>381</v>
      </c>
      <c r="U276" s="2" t="s">
        <v>3</v>
      </c>
    </row>
    <row r="277" spans="1:21" hidden="1" x14ac:dyDescent="0.25">
      <c r="A277" s="3">
        <v>13978</v>
      </c>
      <c r="B277" s="3" t="s">
        <v>1813</v>
      </c>
      <c r="D277" t="s">
        <v>1816</v>
      </c>
      <c r="E277" t="s">
        <v>165</v>
      </c>
      <c r="F277" t="s">
        <v>845</v>
      </c>
      <c r="M277" s="2">
        <v>5</v>
      </c>
      <c r="O277" t="s">
        <v>1822</v>
      </c>
      <c r="P277" t="s">
        <v>380</v>
      </c>
      <c r="Q277" t="s">
        <v>381</v>
      </c>
      <c r="U277" s="2" t="s">
        <v>3</v>
      </c>
    </row>
    <row r="278" spans="1:21" hidden="1" x14ac:dyDescent="0.25">
      <c r="A278" s="3">
        <v>25020</v>
      </c>
      <c r="B278" s="3" t="s">
        <v>1814</v>
      </c>
      <c r="D278" t="s">
        <v>1810</v>
      </c>
      <c r="E278" t="s">
        <v>165</v>
      </c>
      <c r="F278" t="s">
        <v>1807</v>
      </c>
      <c r="M278" s="2">
        <v>3</v>
      </c>
      <c r="O278" t="s">
        <v>1822</v>
      </c>
      <c r="P278" t="s">
        <v>380</v>
      </c>
      <c r="Q278" t="s">
        <v>381</v>
      </c>
      <c r="U278" s="2" t="s">
        <v>3</v>
      </c>
    </row>
    <row r="279" spans="1:21" hidden="1" x14ac:dyDescent="0.25">
      <c r="A279" s="3">
        <v>25019</v>
      </c>
      <c r="B279" s="3" t="s">
        <v>1815</v>
      </c>
      <c r="D279" t="s">
        <v>1810</v>
      </c>
      <c r="E279" t="s">
        <v>165</v>
      </c>
      <c r="F279" t="s">
        <v>1807</v>
      </c>
      <c r="M279" s="2">
        <v>3</v>
      </c>
      <c r="O279" t="s">
        <v>1822</v>
      </c>
      <c r="P279" t="s">
        <v>380</v>
      </c>
      <c r="Q279" t="s">
        <v>381</v>
      </c>
      <c r="U279" s="2" t="s">
        <v>3</v>
      </c>
    </row>
    <row r="280" spans="1:21" hidden="1" x14ac:dyDescent="0.25">
      <c r="A280" s="3">
        <v>24040</v>
      </c>
      <c r="B280" s="3" t="s">
        <v>1830</v>
      </c>
      <c r="D280" t="s">
        <v>1816</v>
      </c>
      <c r="E280" t="s">
        <v>165</v>
      </c>
      <c r="F280" t="s">
        <v>850</v>
      </c>
      <c r="M280" s="2">
        <v>4</v>
      </c>
      <c r="O280" t="s">
        <v>1822</v>
      </c>
      <c r="P280" t="s">
        <v>380</v>
      </c>
      <c r="Q280" t="s">
        <v>381</v>
      </c>
      <c r="U280" s="2" t="s">
        <v>3</v>
      </c>
    </row>
    <row r="281" spans="1:21" hidden="1" x14ac:dyDescent="0.25">
      <c r="A281" s="3">
        <v>13979</v>
      </c>
      <c r="B281" s="3" t="s">
        <v>1817</v>
      </c>
      <c r="D281" t="s">
        <v>1816</v>
      </c>
      <c r="E281" t="s">
        <v>165</v>
      </c>
      <c r="F281" t="s">
        <v>845</v>
      </c>
      <c r="M281" s="2">
        <v>3</v>
      </c>
      <c r="O281" t="s">
        <v>1822</v>
      </c>
      <c r="P281" t="s">
        <v>380</v>
      </c>
      <c r="Q281" t="s">
        <v>381</v>
      </c>
      <c r="U281" s="2" t="s">
        <v>3</v>
      </c>
    </row>
    <row r="282" spans="1:21" hidden="1" x14ac:dyDescent="0.25">
      <c r="A282" s="3">
        <v>13981</v>
      </c>
      <c r="B282" s="23" t="s">
        <v>1818</v>
      </c>
      <c r="D282" t="s">
        <v>1816</v>
      </c>
      <c r="E282" t="s">
        <v>165</v>
      </c>
      <c r="F282" t="s">
        <v>845</v>
      </c>
      <c r="M282" s="2">
        <v>3</v>
      </c>
      <c r="O282" t="s">
        <v>1822</v>
      </c>
      <c r="P282" t="s">
        <v>380</v>
      </c>
      <c r="Q282" t="s">
        <v>381</v>
      </c>
      <c r="U282" s="2" t="s">
        <v>3</v>
      </c>
    </row>
    <row r="283" spans="1:21" hidden="1" x14ac:dyDescent="0.25">
      <c r="A283" s="3">
        <v>61057</v>
      </c>
      <c r="B283" s="3" t="s">
        <v>1819</v>
      </c>
      <c r="D283" t="s">
        <v>400</v>
      </c>
      <c r="E283" t="s">
        <v>251</v>
      </c>
      <c r="F283" t="str">
        <f>VLOOKUP(A283,[1]Consulta1!$A:$Z,12,0)</f>
        <v>RJ</v>
      </c>
      <c r="M283" s="2">
        <v>5</v>
      </c>
      <c r="U283" s="2" t="s">
        <v>3</v>
      </c>
    </row>
    <row r="284" spans="1:21" ht="15" hidden="1" customHeight="1" x14ac:dyDescent="0.25">
      <c r="A284" s="3">
        <v>61056</v>
      </c>
      <c r="B284" s="3" t="s">
        <v>1824</v>
      </c>
      <c r="D284" t="s">
        <v>1345</v>
      </c>
      <c r="E284" t="s">
        <v>251</v>
      </c>
      <c r="F284" t="str">
        <f>VLOOKUP(A284,[1]Consulta1!$A:$Z,12,0)</f>
        <v>RJ</v>
      </c>
      <c r="M284" s="2">
        <v>5</v>
      </c>
      <c r="O284" t="s">
        <v>1822</v>
      </c>
      <c r="P284" t="s">
        <v>380</v>
      </c>
      <c r="U284" s="2" t="s">
        <v>3</v>
      </c>
    </row>
    <row r="285" spans="1:21" ht="15" hidden="1" customHeight="1" x14ac:dyDescent="0.25">
      <c r="A285" s="3">
        <v>61054</v>
      </c>
      <c r="B285" s="3" t="s">
        <v>1825</v>
      </c>
      <c r="D285" t="s">
        <v>1345</v>
      </c>
      <c r="E285" t="s">
        <v>251</v>
      </c>
      <c r="F285" t="str">
        <f>VLOOKUP(A285,[1]Consulta1!$A:$Z,12,0)</f>
        <v>RJ</v>
      </c>
      <c r="M285" s="2">
        <v>4</v>
      </c>
      <c r="O285" t="s">
        <v>1822</v>
      </c>
      <c r="P285" t="s">
        <v>380</v>
      </c>
      <c r="U285" s="2" t="s">
        <v>3</v>
      </c>
    </row>
    <row r="286" spans="1:21" hidden="1" x14ac:dyDescent="0.25">
      <c r="A286" s="3">
        <v>61055</v>
      </c>
      <c r="B286" s="3" t="s">
        <v>1826</v>
      </c>
      <c r="D286" t="s">
        <v>1345</v>
      </c>
      <c r="E286" t="s">
        <v>251</v>
      </c>
      <c r="F286" t="str">
        <f>VLOOKUP(A286,[1]Consulta1!$A:$Z,12,0)</f>
        <v>RJ</v>
      </c>
      <c r="M286" s="2">
        <v>3</v>
      </c>
      <c r="U286" s="2" t="s">
        <v>3</v>
      </c>
    </row>
    <row r="287" spans="1:21" hidden="1" x14ac:dyDescent="0.25">
      <c r="A287" s="3">
        <v>61053</v>
      </c>
      <c r="B287" s="3" t="s">
        <v>1827</v>
      </c>
      <c r="D287" t="s">
        <v>1345</v>
      </c>
      <c r="E287" t="s">
        <v>251</v>
      </c>
      <c r="F287" t="str">
        <f>VLOOKUP(A287,[1]Consulta1!$A:$Z,12,0)</f>
        <v>RJ</v>
      </c>
      <c r="M287" s="2">
        <v>5</v>
      </c>
      <c r="O287" t="s">
        <v>1822</v>
      </c>
      <c r="P287" t="s">
        <v>380</v>
      </c>
      <c r="U287" s="2" t="s">
        <v>3</v>
      </c>
    </row>
    <row r="288" spans="1:21" ht="15" hidden="1" customHeight="1" x14ac:dyDescent="0.25">
      <c r="A288" s="3">
        <v>61052</v>
      </c>
      <c r="B288" s="3" t="s">
        <v>1828</v>
      </c>
      <c r="D288" t="s">
        <v>1345</v>
      </c>
      <c r="E288" t="s">
        <v>251</v>
      </c>
      <c r="F288" t="str">
        <f>VLOOKUP(A288,[1]Consulta1!$A:$Z,12,0)</f>
        <v>RJ</v>
      </c>
      <c r="M288" s="2">
        <v>5</v>
      </c>
      <c r="O288" t="s">
        <v>1822</v>
      </c>
      <c r="P288" t="s">
        <v>380</v>
      </c>
      <c r="U288" s="2" t="s">
        <v>3</v>
      </c>
    </row>
    <row r="289" spans="1:21" ht="15" hidden="1" customHeight="1" x14ac:dyDescent="0.25">
      <c r="A289" s="3">
        <v>61051</v>
      </c>
      <c r="B289" s="3" t="s">
        <v>1829</v>
      </c>
      <c r="D289" t="s">
        <v>1345</v>
      </c>
      <c r="E289" t="s">
        <v>251</v>
      </c>
      <c r="F289" t="str">
        <f>VLOOKUP(A289,[1]Consulta1!$A:$Z,12,0)</f>
        <v>RJ</v>
      </c>
      <c r="M289" s="2">
        <v>4</v>
      </c>
      <c r="O289" t="s">
        <v>1822</v>
      </c>
      <c r="P289" t="s">
        <v>380</v>
      </c>
      <c r="U289" s="2" t="s">
        <v>3</v>
      </c>
    </row>
    <row r="290" spans="1:21" ht="15" hidden="1" customHeight="1" x14ac:dyDescent="0.25">
      <c r="A290" s="3">
        <v>19902</v>
      </c>
      <c r="B290" t="s">
        <v>212</v>
      </c>
      <c r="C290" t="s">
        <v>1180</v>
      </c>
      <c r="D290" t="s">
        <v>7</v>
      </c>
      <c r="E290" t="s">
        <v>10</v>
      </c>
      <c r="F290" t="s">
        <v>590</v>
      </c>
      <c r="G290" t="s">
        <v>882</v>
      </c>
      <c r="H290" t="s">
        <v>883</v>
      </c>
      <c r="I290" t="s">
        <v>431</v>
      </c>
      <c r="J290" t="s">
        <v>884</v>
      </c>
      <c r="L290" s="7" t="s">
        <v>567</v>
      </c>
      <c r="M290" s="2">
        <v>5</v>
      </c>
      <c r="N290" t="s">
        <v>388</v>
      </c>
      <c r="O290" t="s">
        <v>380</v>
      </c>
      <c r="P290" t="s">
        <v>428</v>
      </c>
      <c r="S290" s="2"/>
      <c r="U290" s="2" t="s">
        <v>427</v>
      </c>
    </row>
    <row r="291" spans="1:21" ht="15" hidden="1" customHeight="1" x14ac:dyDescent="0.25">
      <c r="A291" s="3">
        <v>9369</v>
      </c>
      <c r="B291" t="s">
        <v>565</v>
      </c>
      <c r="C291" t="s">
        <v>1180</v>
      </c>
      <c r="D291" t="s">
        <v>398</v>
      </c>
      <c r="E291" t="s">
        <v>122</v>
      </c>
      <c r="F291" t="s">
        <v>729</v>
      </c>
      <c r="G291" t="s">
        <v>1101</v>
      </c>
      <c r="H291" t="s">
        <v>1102</v>
      </c>
      <c r="I291" t="s">
        <v>472</v>
      </c>
      <c r="J291" t="s">
        <v>1103</v>
      </c>
      <c r="K291" s="9">
        <v>44214</v>
      </c>
      <c r="L291" s="7" t="s">
        <v>567</v>
      </c>
      <c r="O291" t="s">
        <v>566</v>
      </c>
      <c r="S291" s="2"/>
      <c r="U291" s="2" t="s">
        <v>427</v>
      </c>
    </row>
    <row r="292" spans="1:21" ht="15" hidden="1" customHeight="1" x14ac:dyDescent="0.25">
      <c r="A292" s="3">
        <v>19933</v>
      </c>
      <c r="B292" t="s">
        <v>1478</v>
      </c>
      <c r="F292" t="s">
        <v>590</v>
      </c>
      <c r="G292" t="s">
        <v>1525</v>
      </c>
      <c r="H292" t="s">
        <v>640</v>
      </c>
      <c r="I292" t="s">
        <v>964</v>
      </c>
      <c r="J292" t="s">
        <v>1526</v>
      </c>
      <c r="K292"/>
      <c r="L292" s="7" t="s">
        <v>567</v>
      </c>
      <c r="M292" s="2" t="s">
        <v>413</v>
      </c>
      <c r="S292" s="2"/>
      <c r="U292" s="2" t="s">
        <v>427</v>
      </c>
    </row>
    <row r="293" spans="1:21" hidden="1" x14ac:dyDescent="0.25">
      <c r="A293" s="3">
        <v>1494</v>
      </c>
      <c r="B293" t="s">
        <v>74</v>
      </c>
      <c r="D293" t="s">
        <v>18</v>
      </c>
      <c r="E293" t="s">
        <v>10</v>
      </c>
      <c r="F293" t="s">
        <v>590</v>
      </c>
      <c r="G293" t="s">
        <v>768</v>
      </c>
      <c r="H293" t="s">
        <v>592</v>
      </c>
      <c r="I293" t="s">
        <v>480</v>
      </c>
      <c r="J293" t="s">
        <v>767</v>
      </c>
      <c r="L293" s="7" t="s">
        <v>567</v>
      </c>
      <c r="M293" s="2" t="s">
        <v>413</v>
      </c>
      <c r="N293" t="s">
        <v>388</v>
      </c>
      <c r="O293" t="s">
        <v>380</v>
      </c>
      <c r="P293" t="s">
        <v>428</v>
      </c>
      <c r="S293" s="2"/>
      <c r="U293" s="2" t="s">
        <v>427</v>
      </c>
    </row>
    <row r="294" spans="1:21" hidden="1" x14ac:dyDescent="0.25">
      <c r="A294" s="3">
        <v>10608</v>
      </c>
      <c r="B294" t="s">
        <v>148</v>
      </c>
      <c r="D294" t="s">
        <v>366</v>
      </c>
      <c r="E294" t="s">
        <v>10</v>
      </c>
      <c r="F294" t="s">
        <v>590</v>
      </c>
      <c r="G294" t="s">
        <v>1074</v>
      </c>
      <c r="H294" t="s">
        <v>592</v>
      </c>
      <c r="I294" t="s">
        <v>1075</v>
      </c>
      <c r="J294" t="s">
        <v>1076</v>
      </c>
      <c r="L294" s="7" t="s">
        <v>567</v>
      </c>
      <c r="M294" s="2" t="s">
        <v>413</v>
      </c>
      <c r="N294" t="s">
        <v>388</v>
      </c>
      <c r="O294" t="s">
        <v>381</v>
      </c>
      <c r="P294" t="s">
        <v>381</v>
      </c>
      <c r="S294" s="2"/>
      <c r="U294" s="2" t="s">
        <v>427</v>
      </c>
    </row>
    <row r="295" spans="1:21" hidden="1" x14ac:dyDescent="0.25">
      <c r="A295" s="3">
        <v>19790</v>
      </c>
      <c r="B295" t="s">
        <v>204</v>
      </c>
      <c r="D295" t="s">
        <v>391</v>
      </c>
      <c r="E295" t="s">
        <v>10</v>
      </c>
      <c r="F295" t="s">
        <v>590</v>
      </c>
      <c r="G295" t="s">
        <v>871</v>
      </c>
      <c r="H295" t="s">
        <v>872</v>
      </c>
      <c r="I295" t="s">
        <v>431</v>
      </c>
      <c r="J295" t="s">
        <v>873</v>
      </c>
      <c r="L295" s="7" t="s">
        <v>567</v>
      </c>
      <c r="M295" s="2" t="s">
        <v>413</v>
      </c>
      <c r="N295" t="s">
        <v>388</v>
      </c>
      <c r="O295" t="s">
        <v>380</v>
      </c>
      <c r="P295" t="s">
        <v>428</v>
      </c>
      <c r="S295" s="2"/>
      <c r="U295" s="2" t="s">
        <v>427</v>
      </c>
    </row>
    <row r="296" spans="1:21" hidden="1" x14ac:dyDescent="0.25">
      <c r="A296" s="3">
        <v>7762</v>
      </c>
      <c r="B296" t="s">
        <v>1483</v>
      </c>
      <c r="D296" t="s">
        <v>399</v>
      </c>
      <c r="E296" t="s">
        <v>165</v>
      </c>
      <c r="F296" t="s">
        <v>638</v>
      </c>
      <c r="G296" t="s">
        <v>1539</v>
      </c>
      <c r="H296" t="s">
        <v>592</v>
      </c>
      <c r="I296" t="s">
        <v>1540</v>
      </c>
      <c r="J296" t="s">
        <v>1541</v>
      </c>
      <c r="K296"/>
      <c r="L296" s="7" t="s">
        <v>567</v>
      </c>
      <c r="M296" s="2" t="s">
        <v>413</v>
      </c>
      <c r="S296" s="2"/>
      <c r="U296" s="2" t="s">
        <v>427</v>
      </c>
    </row>
    <row r="297" spans="1:21" ht="15" hidden="1" customHeight="1" x14ac:dyDescent="0.25">
      <c r="A297" s="3">
        <v>54469</v>
      </c>
      <c r="B297" t="s">
        <v>374</v>
      </c>
      <c r="D297" t="s">
        <v>1226</v>
      </c>
      <c r="E297" t="s">
        <v>6</v>
      </c>
      <c r="F297" t="s">
        <v>616</v>
      </c>
      <c r="G297" t="s">
        <v>663</v>
      </c>
      <c r="H297" t="s">
        <v>664</v>
      </c>
      <c r="I297" t="s">
        <v>450</v>
      </c>
      <c r="J297" t="s">
        <v>665</v>
      </c>
      <c r="K297" s="9">
        <v>44655</v>
      </c>
      <c r="L297" s="7">
        <v>44655</v>
      </c>
      <c r="M297" s="2" t="s">
        <v>413</v>
      </c>
      <c r="N297" t="s">
        <v>388</v>
      </c>
      <c r="O297" t="s">
        <v>1821</v>
      </c>
      <c r="U297" s="2" t="s">
        <v>427</v>
      </c>
    </row>
    <row r="298" spans="1:21" ht="15" hidden="1" customHeight="1" x14ac:dyDescent="0.25">
      <c r="A298" s="3">
        <v>6000043</v>
      </c>
      <c r="B298" t="s">
        <v>386</v>
      </c>
      <c r="D298" t="s">
        <v>1245</v>
      </c>
      <c r="E298" t="s">
        <v>6</v>
      </c>
      <c r="F298" t="s">
        <v>616</v>
      </c>
      <c r="G298" t="s">
        <v>1030</v>
      </c>
      <c r="H298" t="s">
        <v>1031</v>
      </c>
      <c r="I298" t="s">
        <v>537</v>
      </c>
      <c r="J298" t="s">
        <v>1032</v>
      </c>
      <c r="K298" s="9">
        <v>44713</v>
      </c>
      <c r="L298" s="7">
        <v>44713</v>
      </c>
      <c r="M298" s="2" t="s">
        <v>413</v>
      </c>
      <c r="N298" t="s">
        <v>388</v>
      </c>
      <c r="O298" t="s">
        <v>1821</v>
      </c>
      <c r="U298" s="2" t="s">
        <v>427</v>
      </c>
    </row>
    <row r="299" spans="1:21" hidden="1" x14ac:dyDescent="0.25">
      <c r="A299" s="3">
        <v>600055</v>
      </c>
      <c r="B299" t="s">
        <v>334</v>
      </c>
      <c r="D299" t="s">
        <v>1245</v>
      </c>
      <c r="E299" t="s">
        <v>6</v>
      </c>
      <c r="F299" t="s">
        <v>616</v>
      </c>
      <c r="G299" t="s">
        <v>760</v>
      </c>
      <c r="H299" t="s">
        <v>761</v>
      </c>
      <c r="I299" t="s">
        <v>479</v>
      </c>
      <c r="J299" t="s">
        <v>762</v>
      </c>
      <c r="K299" s="9">
        <v>44579</v>
      </c>
      <c r="L299" s="7">
        <v>44579</v>
      </c>
      <c r="M299" s="2">
        <v>3</v>
      </c>
      <c r="N299" t="s">
        <v>388</v>
      </c>
      <c r="O299" t="s">
        <v>1822</v>
      </c>
      <c r="U299" s="2" t="s">
        <v>427</v>
      </c>
    </row>
    <row r="300" spans="1:21" hidden="1" x14ac:dyDescent="0.25">
      <c r="A300" s="3">
        <v>601050</v>
      </c>
      <c r="B300" t="s">
        <v>349</v>
      </c>
      <c r="D300" t="s">
        <v>67</v>
      </c>
      <c r="E300" t="s">
        <v>10</v>
      </c>
      <c r="F300" t="s">
        <v>590</v>
      </c>
      <c r="G300" t="s">
        <v>896</v>
      </c>
      <c r="H300" t="s">
        <v>897</v>
      </c>
      <c r="I300" t="s">
        <v>431</v>
      </c>
      <c r="J300" t="s">
        <v>898</v>
      </c>
      <c r="K300" s="9">
        <v>44531</v>
      </c>
      <c r="L300" s="7">
        <v>44531</v>
      </c>
      <c r="M300" s="2">
        <v>5</v>
      </c>
      <c r="N300" t="s">
        <v>388</v>
      </c>
      <c r="O300" t="s">
        <v>1822</v>
      </c>
      <c r="U300" s="2" t="s">
        <v>427</v>
      </c>
    </row>
    <row r="301" spans="1:21" hidden="1" x14ac:dyDescent="0.25">
      <c r="A301" s="3">
        <v>1404</v>
      </c>
      <c r="B301" t="s">
        <v>1832</v>
      </c>
      <c r="D301" t="s">
        <v>7</v>
      </c>
      <c r="E301" t="s">
        <v>10</v>
      </c>
      <c r="F301" t="s">
        <v>590</v>
      </c>
      <c r="G301" t="s">
        <v>1856</v>
      </c>
      <c r="H301" t="s">
        <v>1857</v>
      </c>
      <c r="I301" t="s">
        <v>431</v>
      </c>
      <c r="J301" t="s">
        <v>1858</v>
      </c>
      <c r="K301" s="9">
        <v>38429</v>
      </c>
      <c r="L301" s="7">
        <v>46027</v>
      </c>
      <c r="M301" s="2">
        <v>3</v>
      </c>
      <c r="O301" t="s">
        <v>1822</v>
      </c>
      <c r="P301" t="s">
        <v>1820</v>
      </c>
      <c r="Q301" t="s">
        <v>1838</v>
      </c>
      <c r="R301" t="s">
        <v>428</v>
      </c>
      <c r="U301" s="2" t="s">
        <v>3</v>
      </c>
    </row>
    <row r="302" spans="1:21" hidden="1" x14ac:dyDescent="0.25">
      <c r="A302" s="3">
        <v>600085</v>
      </c>
      <c r="B302" t="s">
        <v>1833</v>
      </c>
      <c r="D302" t="s">
        <v>1216</v>
      </c>
      <c r="E302" t="s">
        <v>6</v>
      </c>
      <c r="F302" t="s">
        <v>616</v>
      </c>
      <c r="G302" t="s">
        <v>1834</v>
      </c>
      <c r="H302" t="s">
        <v>1835</v>
      </c>
      <c r="I302" t="s">
        <v>537</v>
      </c>
      <c r="J302" t="s">
        <v>1836</v>
      </c>
      <c r="K302" s="9">
        <v>46002</v>
      </c>
      <c r="L302" s="7" t="s">
        <v>413</v>
      </c>
      <c r="M302" s="2">
        <v>5</v>
      </c>
      <c r="O302" t="s">
        <v>1822</v>
      </c>
      <c r="P302" t="s">
        <v>380</v>
      </c>
      <c r="Q302" t="s">
        <v>381</v>
      </c>
      <c r="R302" t="s">
        <v>432</v>
      </c>
      <c r="U302" s="2" t="s">
        <v>427</v>
      </c>
    </row>
    <row r="303" spans="1:21" hidden="1" x14ac:dyDescent="0.25">
      <c r="A303" s="3">
        <v>27895</v>
      </c>
      <c r="B303" t="s">
        <v>1839</v>
      </c>
      <c r="D303" t="s">
        <v>398</v>
      </c>
      <c r="E303" t="s">
        <v>122</v>
      </c>
      <c r="F303" t="s">
        <v>729</v>
      </c>
      <c r="G303" t="s">
        <v>1840</v>
      </c>
      <c r="H303" t="s">
        <v>592</v>
      </c>
      <c r="I303" t="s">
        <v>1841</v>
      </c>
      <c r="J303" t="s">
        <v>1842</v>
      </c>
      <c r="K303" s="9">
        <v>46002</v>
      </c>
      <c r="L303" s="7" t="s">
        <v>413</v>
      </c>
      <c r="M303" s="2">
        <v>2</v>
      </c>
      <c r="O303" t="s">
        <v>1822</v>
      </c>
      <c r="P303" t="s">
        <v>380</v>
      </c>
      <c r="Q303" t="s">
        <v>381</v>
      </c>
      <c r="R303" t="s">
        <v>432</v>
      </c>
      <c r="U303" s="2" t="s">
        <v>427</v>
      </c>
    </row>
    <row r="304" spans="1:21" hidden="1" x14ac:dyDescent="0.25">
      <c r="A304" s="3">
        <v>61058</v>
      </c>
      <c r="B304" t="s">
        <v>1843</v>
      </c>
      <c r="D304" t="s">
        <v>1345</v>
      </c>
      <c r="E304" t="s">
        <v>251</v>
      </c>
      <c r="F304" t="s">
        <v>603</v>
      </c>
      <c r="G304" t="s">
        <v>1844</v>
      </c>
      <c r="J304" t="s">
        <v>1845</v>
      </c>
      <c r="K304" s="9">
        <v>46002</v>
      </c>
      <c r="M304" s="2">
        <v>4</v>
      </c>
      <c r="U304" s="2" t="s">
        <v>3</v>
      </c>
    </row>
    <row r="305" spans="1:21" ht="15" hidden="1" customHeight="1" x14ac:dyDescent="0.25">
      <c r="A305" s="3">
        <v>19880</v>
      </c>
      <c r="B305" t="s">
        <v>206</v>
      </c>
      <c r="C305" t="s">
        <v>1463</v>
      </c>
      <c r="D305" t="s">
        <v>366</v>
      </c>
      <c r="E305" t="s">
        <v>10</v>
      </c>
      <c r="F305" t="s">
        <v>590</v>
      </c>
      <c r="G305" t="s">
        <v>954</v>
      </c>
      <c r="H305" t="s">
        <v>592</v>
      </c>
      <c r="I305" t="s">
        <v>520</v>
      </c>
      <c r="J305" t="s">
        <v>955</v>
      </c>
      <c r="L305" s="2" t="s">
        <v>567</v>
      </c>
      <c r="M305" s="2">
        <v>4</v>
      </c>
      <c r="N305" t="s">
        <v>388</v>
      </c>
      <c r="O305" t="s">
        <v>380</v>
      </c>
      <c r="P305" t="s">
        <v>432</v>
      </c>
      <c r="Q305" t="s">
        <v>432</v>
      </c>
      <c r="S305" s="2"/>
      <c r="U305" s="2" t="s">
        <v>427</v>
      </c>
    </row>
    <row r="306" spans="1:21" hidden="1" x14ac:dyDescent="0.25">
      <c r="A306" s="3">
        <v>19707</v>
      </c>
      <c r="B306" t="s">
        <v>192</v>
      </c>
      <c r="D306" t="s">
        <v>67</v>
      </c>
      <c r="E306" t="s">
        <v>10</v>
      </c>
      <c r="F306" t="s">
        <v>590</v>
      </c>
      <c r="G306" t="s">
        <v>673</v>
      </c>
      <c r="H306" t="s">
        <v>674</v>
      </c>
      <c r="I306" t="s">
        <v>454</v>
      </c>
      <c r="J306" t="s">
        <v>675</v>
      </c>
      <c r="L306" s="7" t="s">
        <v>567</v>
      </c>
      <c r="M306" s="2">
        <v>3</v>
      </c>
      <c r="N306" t="s">
        <v>388</v>
      </c>
      <c r="O306" t="s">
        <v>380</v>
      </c>
      <c r="P306" t="s">
        <v>432</v>
      </c>
      <c r="Q306" t="s">
        <v>432</v>
      </c>
      <c r="S306" s="2"/>
      <c r="U306" s="2" t="s">
        <v>427</v>
      </c>
    </row>
    <row r="307" spans="1:21" hidden="1" x14ac:dyDescent="0.25">
      <c r="A307" s="3">
        <v>17513</v>
      </c>
      <c r="B307" t="s">
        <v>178</v>
      </c>
      <c r="C307" t="s">
        <v>1337</v>
      </c>
      <c r="D307" t="s">
        <v>1318</v>
      </c>
      <c r="E307" t="s">
        <v>165</v>
      </c>
      <c r="F307" t="s">
        <v>598</v>
      </c>
      <c r="G307" t="s">
        <v>1385</v>
      </c>
      <c r="H307" t="s">
        <v>637</v>
      </c>
      <c r="I307" t="s">
        <v>443</v>
      </c>
      <c r="J307">
        <v>0</v>
      </c>
      <c r="K307" s="9">
        <v>44319</v>
      </c>
      <c r="L307" s="7">
        <v>44319</v>
      </c>
      <c r="M307" s="2">
        <v>3</v>
      </c>
      <c r="N307" t="s">
        <v>388</v>
      </c>
      <c r="O307" t="s">
        <v>380</v>
      </c>
      <c r="S307" s="2"/>
      <c r="U307" s="2" t="s">
        <v>427</v>
      </c>
    </row>
    <row r="308" spans="1:21" x14ac:dyDescent="0.25">
      <c r="A308" s="3">
        <v>45017</v>
      </c>
      <c r="B308" t="s">
        <v>254</v>
      </c>
      <c r="C308" t="s">
        <v>1323</v>
      </c>
      <c r="D308" t="s">
        <v>399</v>
      </c>
      <c r="E308" t="s">
        <v>165</v>
      </c>
      <c r="F308" t="s">
        <v>638</v>
      </c>
      <c r="G308" t="s">
        <v>642</v>
      </c>
      <c r="H308" t="s">
        <v>643</v>
      </c>
      <c r="I308" t="s">
        <v>444</v>
      </c>
      <c r="J308" t="s">
        <v>644</v>
      </c>
      <c r="L308" s="2">
        <v>0</v>
      </c>
      <c r="M308" s="2">
        <v>4</v>
      </c>
      <c r="N308" t="s">
        <v>388</v>
      </c>
      <c r="O308" t="s">
        <v>380</v>
      </c>
      <c r="S308" s="2"/>
      <c r="U308" s="2" t="s">
        <v>427</v>
      </c>
    </row>
    <row r="309" spans="1:21" hidden="1" x14ac:dyDescent="0.25">
      <c r="A309" s="3">
        <v>61061</v>
      </c>
      <c r="B309" s="3" t="s">
        <v>1846</v>
      </c>
      <c r="F309" t="s">
        <v>603</v>
      </c>
      <c r="G309" t="s">
        <v>1849</v>
      </c>
      <c r="H309" t="s">
        <v>592</v>
      </c>
      <c r="J309" t="s">
        <v>1853</v>
      </c>
      <c r="K309" s="9">
        <v>46049</v>
      </c>
      <c r="M309" s="2">
        <v>3</v>
      </c>
      <c r="O309" t="s">
        <v>1822</v>
      </c>
      <c r="P309" t="s">
        <v>380</v>
      </c>
      <c r="Q309" t="s">
        <v>381</v>
      </c>
    </row>
    <row r="310" spans="1:21" hidden="1" x14ac:dyDescent="0.25">
      <c r="A310" s="3">
        <v>61060</v>
      </c>
      <c r="B310" s="3" t="s">
        <v>1847</v>
      </c>
      <c r="F310" t="s">
        <v>603</v>
      </c>
      <c r="G310" t="s">
        <v>1850</v>
      </c>
      <c r="H310" t="s">
        <v>1852</v>
      </c>
      <c r="J310" t="s">
        <v>1854</v>
      </c>
      <c r="K310" s="9">
        <v>46049</v>
      </c>
      <c r="M310" s="2">
        <v>5</v>
      </c>
      <c r="O310" t="s">
        <v>1822</v>
      </c>
      <c r="P310" t="s">
        <v>380</v>
      </c>
      <c r="Q310" t="s">
        <v>381</v>
      </c>
    </row>
    <row r="311" spans="1:21" hidden="1" x14ac:dyDescent="0.25">
      <c r="A311" s="3">
        <v>61059</v>
      </c>
      <c r="B311" s="3" t="s">
        <v>1848</v>
      </c>
      <c r="F311" t="s">
        <v>603</v>
      </c>
      <c r="G311" t="s">
        <v>1851</v>
      </c>
      <c r="H311" t="s">
        <v>592</v>
      </c>
      <c r="J311" t="s">
        <v>1855</v>
      </c>
      <c r="K311" s="9">
        <v>46049</v>
      </c>
      <c r="M311" s="2">
        <v>4</v>
      </c>
      <c r="O311" t="s">
        <v>1822</v>
      </c>
      <c r="P311" t="s">
        <v>380</v>
      </c>
      <c r="Q311" t="s">
        <v>381</v>
      </c>
    </row>
    <row r="312" spans="1:21" hidden="1" x14ac:dyDescent="0.25">
      <c r="A312" s="3">
        <v>200026</v>
      </c>
      <c r="B312" s="3" t="s">
        <v>1859</v>
      </c>
      <c r="F312" t="s">
        <v>613</v>
      </c>
      <c r="G312" t="s">
        <v>1862</v>
      </c>
      <c r="H312" t="s">
        <v>592</v>
      </c>
      <c r="I312" t="s">
        <v>1863</v>
      </c>
      <c r="J312" t="s">
        <v>1864</v>
      </c>
      <c r="K312" s="9">
        <v>46050</v>
      </c>
      <c r="M312" s="2">
        <v>4</v>
      </c>
      <c r="O312" t="s">
        <v>1822</v>
      </c>
      <c r="P312" t="s">
        <v>380</v>
      </c>
      <c r="Q312" t="s">
        <v>381</v>
      </c>
    </row>
    <row r="313" spans="1:21" hidden="1" x14ac:dyDescent="0.25">
      <c r="A313" s="3">
        <v>61062</v>
      </c>
      <c r="B313" s="3" t="s">
        <v>1860</v>
      </c>
      <c r="F313" t="s">
        <v>603</v>
      </c>
      <c r="K313" s="9">
        <v>46049</v>
      </c>
      <c r="M313" s="2">
        <v>5</v>
      </c>
      <c r="O313" t="s">
        <v>1822</v>
      </c>
      <c r="P313" t="s">
        <v>380</v>
      </c>
      <c r="Q313" t="s">
        <v>381</v>
      </c>
    </row>
    <row r="314" spans="1:21" hidden="1" x14ac:dyDescent="0.25">
      <c r="A314" s="3">
        <v>200025</v>
      </c>
      <c r="B314" s="3" t="s">
        <v>1861</v>
      </c>
      <c r="D314" t="s">
        <v>1200</v>
      </c>
      <c r="E314" t="s">
        <v>10</v>
      </c>
      <c r="F314" t="s">
        <v>613</v>
      </c>
      <c r="K314" s="9">
        <v>46049</v>
      </c>
      <c r="M314" s="2">
        <v>3</v>
      </c>
      <c r="O314" t="s">
        <v>1822</v>
      </c>
      <c r="P314" t="s">
        <v>380</v>
      </c>
      <c r="Q314" t="s">
        <v>381</v>
      </c>
    </row>
  </sheetData>
  <autoFilter ref="A1:V314" xr:uid="{00000000-0001-0000-0300-000000000000}">
    <filterColumn colId="1">
      <filters>
        <filter val="LOJA BH - BARREIRO - MG"/>
      </filters>
    </filterColumn>
    <filterColumn colId="20">
      <filters>
        <filter val="S"/>
      </filters>
    </filterColumn>
  </autoFilter>
  <phoneticPr fontId="19" type="noConversion"/>
  <conditionalFormatting sqref="A1:A304 A309:A1048576">
    <cfRule type="duplicateValues" dxfId="33" priority="10"/>
  </conditionalFormatting>
  <conditionalFormatting sqref="A1:A304">
    <cfRule type="duplicateValues" dxfId="32" priority="9"/>
  </conditionalFormatting>
  <conditionalFormatting sqref="A2:A304">
    <cfRule type="duplicateValues" dxfId="31" priority="48"/>
  </conditionalFormatting>
  <conditionalFormatting sqref="A248:B248">
    <cfRule type="duplicateValues" dxfId="30" priority="18"/>
  </conditionalFormatting>
  <conditionalFormatting sqref="A249:B249">
    <cfRule type="duplicateValues" dxfId="29" priority="17"/>
  </conditionalFormatting>
  <conditionalFormatting sqref="A284:B284">
    <cfRule type="duplicateValues" dxfId="28" priority="15"/>
  </conditionalFormatting>
  <conditionalFormatting sqref="A285:B285">
    <cfRule type="duplicateValues" dxfId="27" priority="14"/>
  </conditionalFormatting>
  <conditionalFormatting sqref="A287:B287">
    <cfRule type="duplicateValues" dxfId="26" priority="13"/>
  </conditionalFormatting>
  <conditionalFormatting sqref="A288:B296">
    <cfRule type="duplicateValues" dxfId="25" priority="42"/>
  </conditionalFormatting>
  <conditionalFormatting sqref="A297:B300">
    <cfRule type="duplicateValues" dxfId="24" priority="11"/>
  </conditionalFormatting>
  <conditionalFormatting sqref="A301:B304 A256:B268 A1:B247 A271:B277 A309:B1048576">
    <cfRule type="duplicateValues" dxfId="23" priority="34"/>
  </conditionalFormatting>
  <conditionalFormatting sqref="A305:B305">
    <cfRule type="duplicateValues" dxfId="22" priority="2"/>
  </conditionalFormatting>
  <conditionalFormatting sqref="A306:B306">
    <cfRule type="duplicateValues" dxfId="21" priority="1"/>
  </conditionalFormatting>
  <conditionalFormatting sqref="B269">
    <cfRule type="duplicateValues" dxfId="20" priority="16"/>
  </conditionalFormatting>
  <conditionalFormatting sqref="T221">
    <cfRule type="duplicateValues" dxfId="19" priority="33"/>
  </conditionalFormatting>
  <conditionalFormatting sqref="T222">
    <cfRule type="duplicateValues" dxfId="18" priority="27"/>
  </conditionalFormatting>
  <conditionalFormatting sqref="T224">
    <cfRule type="duplicateValues" dxfId="17" priority="30"/>
  </conditionalFormatting>
  <conditionalFormatting sqref="T226">
    <cfRule type="duplicateValues" dxfId="16" priority="28"/>
  </conditionalFormatting>
  <conditionalFormatting sqref="T227">
    <cfRule type="duplicateValues" dxfId="15" priority="23"/>
  </conditionalFormatting>
  <conditionalFormatting sqref="T228">
    <cfRule type="duplicateValues" dxfId="14" priority="29"/>
  </conditionalFormatting>
  <conditionalFormatting sqref="T229">
    <cfRule type="duplicateValues" dxfId="13" priority="26"/>
  </conditionalFormatting>
  <conditionalFormatting sqref="T230">
    <cfRule type="duplicateValues" dxfId="12" priority="32"/>
  </conditionalFormatting>
  <conditionalFormatting sqref="T232">
    <cfRule type="duplicateValues" dxfId="11" priority="24"/>
  </conditionalFormatting>
  <conditionalFormatting sqref="T233">
    <cfRule type="duplicateValues" dxfId="10" priority="31"/>
  </conditionalFormatting>
  <conditionalFormatting sqref="T234">
    <cfRule type="duplicateValues" dxfId="9" priority="21"/>
  </conditionalFormatting>
  <conditionalFormatting sqref="T236">
    <cfRule type="duplicateValues" dxfId="8" priority="25"/>
  </conditionalFormatting>
  <conditionalFormatting sqref="T239">
    <cfRule type="duplicateValues" dxfId="7" priority="22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DF872-CD84-42D9-9CBE-2DF57DF2EC63}">
  <dimension ref="A1:B267"/>
  <sheetViews>
    <sheetView workbookViewId="0"/>
  </sheetViews>
  <sheetFormatPr defaultRowHeight="15" x14ac:dyDescent="0.25"/>
  <cols>
    <col min="1" max="1" width="8" bestFit="1" customWidth="1"/>
    <col min="2" max="2" width="98.85546875" bestFit="1" customWidth="1"/>
  </cols>
  <sheetData>
    <row r="1" spans="1:2" x14ac:dyDescent="0.25">
      <c r="A1" t="s">
        <v>577</v>
      </c>
      <c r="B1" t="s">
        <v>1559</v>
      </c>
    </row>
    <row r="2" spans="1:2" x14ac:dyDescent="0.25">
      <c r="A2">
        <v>1400</v>
      </c>
      <c r="B2" t="s">
        <v>1560</v>
      </c>
    </row>
    <row r="3" spans="1:2" x14ac:dyDescent="0.25">
      <c r="A3">
        <v>1401</v>
      </c>
      <c r="B3" t="s">
        <v>1561</v>
      </c>
    </row>
    <row r="4" spans="1:2" x14ac:dyDescent="0.25">
      <c r="A4">
        <v>1402</v>
      </c>
      <c r="B4" t="s">
        <v>1562</v>
      </c>
    </row>
    <row r="5" spans="1:2" x14ac:dyDescent="0.25">
      <c r="A5">
        <v>1403</v>
      </c>
      <c r="B5" t="s">
        <v>1563</v>
      </c>
    </row>
    <row r="6" spans="1:2" x14ac:dyDescent="0.25">
      <c r="A6">
        <v>1405</v>
      </c>
      <c r="B6" t="s">
        <v>1564</v>
      </c>
    </row>
    <row r="7" spans="1:2" x14ac:dyDescent="0.25">
      <c r="A7">
        <v>1407</v>
      </c>
      <c r="B7" t="s">
        <v>1565</v>
      </c>
    </row>
    <row r="8" spans="1:2" x14ac:dyDescent="0.25">
      <c r="A8">
        <v>1409</v>
      </c>
      <c r="B8" t="s">
        <v>1566</v>
      </c>
    </row>
    <row r="9" spans="1:2" x14ac:dyDescent="0.25">
      <c r="A9">
        <v>1414</v>
      </c>
      <c r="B9" t="s">
        <v>1567</v>
      </c>
    </row>
    <row r="10" spans="1:2" x14ac:dyDescent="0.25">
      <c r="A10">
        <v>1416</v>
      </c>
      <c r="B10" t="s">
        <v>1568</v>
      </c>
    </row>
    <row r="11" spans="1:2" x14ac:dyDescent="0.25">
      <c r="A11">
        <v>1417</v>
      </c>
      <c r="B11" t="s">
        <v>1569</v>
      </c>
    </row>
    <row r="12" spans="1:2" x14ac:dyDescent="0.25">
      <c r="A12">
        <v>1418</v>
      </c>
      <c r="B12" t="s">
        <v>1570</v>
      </c>
    </row>
    <row r="13" spans="1:2" x14ac:dyDescent="0.25">
      <c r="A13">
        <v>1419</v>
      </c>
      <c r="B13" t="s">
        <v>1571</v>
      </c>
    </row>
    <row r="14" spans="1:2" x14ac:dyDescent="0.25">
      <c r="A14">
        <v>1420</v>
      </c>
      <c r="B14" t="s">
        <v>1572</v>
      </c>
    </row>
    <row r="15" spans="1:2" x14ac:dyDescent="0.25">
      <c r="A15">
        <v>1421</v>
      </c>
      <c r="B15" t="s">
        <v>1573</v>
      </c>
    </row>
    <row r="16" spans="1:2" x14ac:dyDescent="0.25">
      <c r="A16">
        <v>1422</v>
      </c>
      <c r="B16" t="s">
        <v>1574</v>
      </c>
    </row>
    <row r="17" spans="1:2" x14ac:dyDescent="0.25">
      <c r="A17">
        <v>1423</v>
      </c>
      <c r="B17" t="s">
        <v>1575</v>
      </c>
    </row>
    <row r="18" spans="1:2" x14ac:dyDescent="0.25">
      <c r="A18">
        <v>1424</v>
      </c>
      <c r="B18" t="s">
        <v>1576</v>
      </c>
    </row>
    <row r="19" spans="1:2" x14ac:dyDescent="0.25">
      <c r="A19">
        <v>1427</v>
      </c>
      <c r="B19" t="s">
        <v>1577</v>
      </c>
    </row>
    <row r="20" spans="1:2" x14ac:dyDescent="0.25">
      <c r="A20">
        <v>1432</v>
      </c>
      <c r="B20" t="s">
        <v>1578</v>
      </c>
    </row>
    <row r="21" spans="1:2" x14ac:dyDescent="0.25">
      <c r="A21">
        <v>1434</v>
      </c>
      <c r="B21" t="s">
        <v>1579</v>
      </c>
    </row>
    <row r="22" spans="1:2" x14ac:dyDescent="0.25">
      <c r="A22">
        <v>1435</v>
      </c>
      <c r="B22" t="s">
        <v>1580</v>
      </c>
    </row>
    <row r="23" spans="1:2" x14ac:dyDescent="0.25">
      <c r="A23">
        <v>1436</v>
      </c>
      <c r="B23" t="s">
        <v>1581</v>
      </c>
    </row>
    <row r="24" spans="1:2" x14ac:dyDescent="0.25">
      <c r="A24">
        <v>1437</v>
      </c>
      <c r="B24" t="s">
        <v>1582</v>
      </c>
    </row>
    <row r="25" spans="1:2" x14ac:dyDescent="0.25">
      <c r="A25">
        <v>1439</v>
      </c>
      <c r="B25" t="s">
        <v>1583</v>
      </c>
    </row>
    <row r="26" spans="1:2" x14ac:dyDescent="0.25">
      <c r="A26">
        <v>1443</v>
      </c>
      <c r="B26" t="s">
        <v>1584</v>
      </c>
    </row>
    <row r="27" spans="1:2" x14ac:dyDescent="0.25">
      <c r="A27">
        <v>1444</v>
      </c>
      <c r="B27" t="s">
        <v>1585</v>
      </c>
    </row>
    <row r="28" spans="1:2" x14ac:dyDescent="0.25">
      <c r="A28">
        <v>1449</v>
      </c>
      <c r="B28" t="s">
        <v>1586</v>
      </c>
    </row>
    <row r="29" spans="1:2" x14ac:dyDescent="0.25">
      <c r="A29">
        <v>1453</v>
      </c>
      <c r="B29" t="s">
        <v>1587</v>
      </c>
    </row>
    <row r="30" spans="1:2" x14ac:dyDescent="0.25">
      <c r="A30">
        <v>1458</v>
      </c>
      <c r="B30" t="s">
        <v>1588</v>
      </c>
    </row>
    <row r="31" spans="1:2" x14ac:dyDescent="0.25">
      <c r="A31">
        <v>1476</v>
      </c>
      <c r="B31" t="s">
        <v>1589</v>
      </c>
    </row>
    <row r="32" spans="1:2" x14ac:dyDescent="0.25">
      <c r="A32">
        <v>1478</v>
      </c>
      <c r="B32" t="s">
        <v>1590</v>
      </c>
    </row>
    <row r="33" spans="1:2" x14ac:dyDescent="0.25">
      <c r="A33">
        <v>1485</v>
      </c>
      <c r="B33" t="s">
        <v>1591</v>
      </c>
    </row>
    <row r="34" spans="1:2" x14ac:dyDescent="0.25">
      <c r="A34">
        <v>1487</v>
      </c>
      <c r="B34" t="s">
        <v>1592</v>
      </c>
    </row>
    <row r="35" spans="1:2" x14ac:dyDescent="0.25">
      <c r="A35">
        <v>1490</v>
      </c>
      <c r="B35" t="s">
        <v>1593</v>
      </c>
    </row>
    <row r="36" spans="1:2" x14ac:dyDescent="0.25">
      <c r="A36">
        <v>1491</v>
      </c>
      <c r="B36" t="s">
        <v>1594</v>
      </c>
    </row>
    <row r="37" spans="1:2" x14ac:dyDescent="0.25">
      <c r="A37">
        <v>1492</v>
      </c>
      <c r="B37" t="s">
        <v>1595</v>
      </c>
    </row>
    <row r="38" spans="1:2" x14ac:dyDescent="0.25">
      <c r="A38">
        <v>1493</v>
      </c>
      <c r="B38" t="s">
        <v>1596</v>
      </c>
    </row>
    <row r="39" spans="1:2" x14ac:dyDescent="0.25">
      <c r="A39">
        <v>1495</v>
      </c>
      <c r="B39" t="s">
        <v>1597</v>
      </c>
    </row>
    <row r="40" spans="1:2" x14ac:dyDescent="0.25">
      <c r="A40">
        <v>1496</v>
      </c>
      <c r="B40" t="s">
        <v>1598</v>
      </c>
    </row>
    <row r="41" spans="1:2" x14ac:dyDescent="0.25">
      <c r="A41">
        <v>1497</v>
      </c>
      <c r="B41" t="s">
        <v>1599</v>
      </c>
    </row>
    <row r="42" spans="1:2" x14ac:dyDescent="0.25">
      <c r="A42">
        <v>1498</v>
      </c>
      <c r="B42" t="s">
        <v>1600</v>
      </c>
    </row>
    <row r="43" spans="1:2" x14ac:dyDescent="0.25">
      <c r="A43">
        <v>1499</v>
      </c>
      <c r="B43" t="s">
        <v>1601</v>
      </c>
    </row>
    <row r="44" spans="1:2" x14ac:dyDescent="0.25">
      <c r="A44">
        <v>1500</v>
      </c>
      <c r="B44" t="s">
        <v>1602</v>
      </c>
    </row>
    <row r="45" spans="1:2" x14ac:dyDescent="0.25">
      <c r="A45">
        <v>1525</v>
      </c>
      <c r="B45" t="s">
        <v>1603</v>
      </c>
    </row>
    <row r="46" spans="1:2" x14ac:dyDescent="0.25">
      <c r="A46">
        <v>2222</v>
      </c>
      <c r="B46" t="s">
        <v>1604</v>
      </c>
    </row>
    <row r="47" spans="1:2" x14ac:dyDescent="0.25">
      <c r="A47">
        <v>2802</v>
      </c>
      <c r="B47" t="s">
        <v>1605</v>
      </c>
    </row>
    <row r="48" spans="1:2" x14ac:dyDescent="0.25">
      <c r="A48">
        <v>2913</v>
      </c>
      <c r="B48" t="s">
        <v>1606</v>
      </c>
    </row>
    <row r="49" spans="1:2" x14ac:dyDescent="0.25">
      <c r="A49">
        <v>2918</v>
      </c>
      <c r="B49" t="s">
        <v>1607</v>
      </c>
    </row>
    <row r="50" spans="1:2" x14ac:dyDescent="0.25">
      <c r="A50">
        <v>2921</v>
      </c>
      <c r="B50" t="s">
        <v>1608</v>
      </c>
    </row>
    <row r="51" spans="1:2" x14ac:dyDescent="0.25">
      <c r="A51">
        <v>2945</v>
      </c>
      <c r="B51" t="s">
        <v>1609</v>
      </c>
    </row>
    <row r="52" spans="1:2" x14ac:dyDescent="0.25">
      <c r="A52">
        <v>3800</v>
      </c>
      <c r="B52" t="s">
        <v>1610</v>
      </c>
    </row>
    <row r="53" spans="1:2" x14ac:dyDescent="0.25">
      <c r="A53">
        <v>3801</v>
      </c>
      <c r="B53" t="s">
        <v>1611</v>
      </c>
    </row>
    <row r="54" spans="1:2" x14ac:dyDescent="0.25">
      <c r="A54">
        <v>3802</v>
      </c>
      <c r="B54" t="s">
        <v>1612</v>
      </c>
    </row>
    <row r="55" spans="1:2" x14ac:dyDescent="0.25">
      <c r="A55">
        <v>3817</v>
      </c>
      <c r="B55" t="s">
        <v>1613</v>
      </c>
    </row>
    <row r="56" spans="1:2" x14ac:dyDescent="0.25">
      <c r="A56">
        <v>3827</v>
      </c>
      <c r="B56" t="s">
        <v>1614</v>
      </c>
    </row>
    <row r="57" spans="1:2" x14ac:dyDescent="0.25">
      <c r="A57">
        <v>4900</v>
      </c>
      <c r="B57" t="s">
        <v>1615</v>
      </c>
    </row>
    <row r="58" spans="1:2" x14ac:dyDescent="0.25">
      <c r="A58">
        <v>5501</v>
      </c>
      <c r="B58" t="s">
        <v>1616</v>
      </c>
    </row>
    <row r="59" spans="1:2" x14ac:dyDescent="0.25">
      <c r="A59">
        <v>5502</v>
      </c>
      <c r="B59" t="s">
        <v>1617</v>
      </c>
    </row>
    <row r="60" spans="1:2" x14ac:dyDescent="0.25">
      <c r="A60">
        <v>5503</v>
      </c>
      <c r="B60" t="s">
        <v>1618</v>
      </c>
    </row>
    <row r="61" spans="1:2" x14ac:dyDescent="0.25">
      <c r="A61">
        <v>5504</v>
      </c>
      <c r="B61" t="s">
        <v>1619</v>
      </c>
    </row>
    <row r="62" spans="1:2" x14ac:dyDescent="0.25">
      <c r="A62">
        <v>5506</v>
      </c>
      <c r="B62" t="s">
        <v>1620</v>
      </c>
    </row>
    <row r="63" spans="1:2" x14ac:dyDescent="0.25">
      <c r="A63">
        <v>7747</v>
      </c>
      <c r="B63" t="s">
        <v>1621</v>
      </c>
    </row>
    <row r="64" spans="1:2" x14ac:dyDescent="0.25">
      <c r="A64">
        <v>7748</v>
      </c>
      <c r="B64" t="s">
        <v>1621</v>
      </c>
    </row>
    <row r="65" spans="1:2" x14ac:dyDescent="0.25">
      <c r="A65">
        <v>7749</v>
      </c>
      <c r="B65" t="s">
        <v>1622</v>
      </c>
    </row>
    <row r="66" spans="1:2" x14ac:dyDescent="0.25">
      <c r="A66">
        <v>7750</v>
      </c>
      <c r="B66" t="s">
        <v>413</v>
      </c>
    </row>
    <row r="67" spans="1:2" x14ac:dyDescent="0.25">
      <c r="A67">
        <v>7751</v>
      </c>
      <c r="B67" t="s">
        <v>413</v>
      </c>
    </row>
    <row r="68" spans="1:2" x14ac:dyDescent="0.25">
      <c r="A68">
        <v>7752</v>
      </c>
      <c r="B68" t="s">
        <v>1623</v>
      </c>
    </row>
    <row r="69" spans="1:2" x14ac:dyDescent="0.25">
      <c r="A69">
        <v>7753</v>
      </c>
      <c r="B69" t="s">
        <v>1624</v>
      </c>
    </row>
    <row r="70" spans="1:2" x14ac:dyDescent="0.25">
      <c r="A70">
        <v>7754</v>
      </c>
      <c r="B70" t="s">
        <v>1625</v>
      </c>
    </row>
    <row r="71" spans="1:2" x14ac:dyDescent="0.25">
      <c r="A71">
        <v>7755</v>
      </c>
      <c r="B71" t="s">
        <v>1626</v>
      </c>
    </row>
    <row r="72" spans="1:2" x14ac:dyDescent="0.25">
      <c r="A72">
        <v>7756</v>
      </c>
      <c r="B72" t="s">
        <v>413</v>
      </c>
    </row>
    <row r="73" spans="1:2" x14ac:dyDescent="0.25">
      <c r="A73">
        <v>7757</v>
      </c>
      <c r="B73" t="s">
        <v>413</v>
      </c>
    </row>
    <row r="74" spans="1:2" x14ac:dyDescent="0.25">
      <c r="A74">
        <v>7758</v>
      </c>
      <c r="B74" t="s">
        <v>413</v>
      </c>
    </row>
    <row r="75" spans="1:2" x14ac:dyDescent="0.25">
      <c r="A75">
        <v>7759</v>
      </c>
      <c r="B75" t="s">
        <v>413</v>
      </c>
    </row>
    <row r="76" spans="1:2" x14ac:dyDescent="0.25">
      <c r="A76">
        <v>7760</v>
      </c>
      <c r="B76" t="s">
        <v>413</v>
      </c>
    </row>
    <row r="77" spans="1:2" x14ac:dyDescent="0.25">
      <c r="A77">
        <v>7763</v>
      </c>
      <c r="B77" t="s">
        <v>413</v>
      </c>
    </row>
    <row r="78" spans="1:2" x14ac:dyDescent="0.25">
      <c r="A78">
        <v>7764</v>
      </c>
      <c r="B78" t="s">
        <v>413</v>
      </c>
    </row>
    <row r="79" spans="1:2" x14ac:dyDescent="0.25">
      <c r="A79">
        <v>7800</v>
      </c>
      <c r="B79" t="s">
        <v>1627</v>
      </c>
    </row>
    <row r="80" spans="1:2" x14ac:dyDescent="0.25">
      <c r="A80">
        <v>7815</v>
      </c>
      <c r="B80" t="s">
        <v>1628</v>
      </c>
    </row>
    <row r="81" spans="1:2" x14ac:dyDescent="0.25">
      <c r="A81">
        <v>7900</v>
      </c>
      <c r="B81" t="s">
        <v>1629</v>
      </c>
    </row>
    <row r="82" spans="1:2" x14ac:dyDescent="0.25">
      <c r="A82">
        <v>8399</v>
      </c>
      <c r="B82" t="s">
        <v>1630</v>
      </c>
    </row>
    <row r="83" spans="1:2" x14ac:dyDescent="0.25">
      <c r="A83">
        <v>9360</v>
      </c>
      <c r="B83" t="s">
        <v>1631</v>
      </c>
    </row>
    <row r="84" spans="1:2" x14ac:dyDescent="0.25">
      <c r="A84">
        <v>9362</v>
      </c>
      <c r="B84" t="s">
        <v>1632</v>
      </c>
    </row>
    <row r="85" spans="1:2" x14ac:dyDescent="0.25">
      <c r="A85">
        <v>9366</v>
      </c>
      <c r="B85" t="s">
        <v>1621</v>
      </c>
    </row>
    <row r="86" spans="1:2" x14ac:dyDescent="0.25">
      <c r="A86">
        <v>9368</v>
      </c>
      <c r="B86" t="s">
        <v>1633</v>
      </c>
    </row>
    <row r="87" spans="1:2" x14ac:dyDescent="0.25">
      <c r="A87">
        <v>9370</v>
      </c>
      <c r="B87" t="s">
        <v>1634</v>
      </c>
    </row>
    <row r="88" spans="1:2" x14ac:dyDescent="0.25">
      <c r="A88">
        <v>10200</v>
      </c>
      <c r="B88" t="s">
        <v>1635</v>
      </c>
    </row>
    <row r="89" spans="1:2" x14ac:dyDescent="0.25">
      <c r="A89">
        <v>10201</v>
      </c>
      <c r="B89" t="s">
        <v>1636</v>
      </c>
    </row>
    <row r="90" spans="1:2" x14ac:dyDescent="0.25">
      <c r="A90">
        <v>10226</v>
      </c>
      <c r="B90" t="s">
        <v>1637</v>
      </c>
    </row>
    <row r="91" spans="1:2" x14ac:dyDescent="0.25">
      <c r="A91">
        <v>10330</v>
      </c>
      <c r="B91" t="s">
        <v>1638</v>
      </c>
    </row>
    <row r="92" spans="1:2" x14ac:dyDescent="0.25">
      <c r="A92">
        <v>10331</v>
      </c>
      <c r="B92" t="s">
        <v>1639</v>
      </c>
    </row>
    <row r="93" spans="1:2" x14ac:dyDescent="0.25">
      <c r="A93">
        <v>10332</v>
      </c>
      <c r="B93" t="s">
        <v>1640</v>
      </c>
    </row>
    <row r="94" spans="1:2" x14ac:dyDescent="0.25">
      <c r="A94">
        <v>10333</v>
      </c>
      <c r="B94" t="s">
        <v>1641</v>
      </c>
    </row>
    <row r="95" spans="1:2" x14ac:dyDescent="0.25">
      <c r="A95">
        <v>10600</v>
      </c>
      <c r="B95" t="s">
        <v>1642</v>
      </c>
    </row>
    <row r="96" spans="1:2" x14ac:dyDescent="0.25">
      <c r="A96">
        <v>10604</v>
      </c>
      <c r="B96" t="s">
        <v>1591</v>
      </c>
    </row>
    <row r="97" spans="1:2" x14ac:dyDescent="0.25">
      <c r="A97">
        <v>10627</v>
      </c>
      <c r="B97" t="s">
        <v>1643</v>
      </c>
    </row>
    <row r="98" spans="1:2" x14ac:dyDescent="0.25">
      <c r="A98">
        <v>10650</v>
      </c>
      <c r="B98" t="s">
        <v>1644</v>
      </c>
    </row>
    <row r="99" spans="1:2" x14ac:dyDescent="0.25">
      <c r="A99">
        <v>10678</v>
      </c>
      <c r="B99" t="s">
        <v>1645</v>
      </c>
    </row>
    <row r="100" spans="1:2" x14ac:dyDescent="0.25">
      <c r="A100">
        <v>10897</v>
      </c>
      <c r="B100" t="s">
        <v>1591</v>
      </c>
    </row>
    <row r="101" spans="1:2" x14ac:dyDescent="0.25">
      <c r="A101">
        <v>11303</v>
      </c>
      <c r="B101" t="s">
        <v>1632</v>
      </c>
    </row>
    <row r="102" spans="1:2" x14ac:dyDescent="0.25">
      <c r="A102">
        <v>11304</v>
      </c>
      <c r="B102" t="s">
        <v>1646</v>
      </c>
    </row>
    <row r="103" spans="1:2" x14ac:dyDescent="0.25">
      <c r="A103">
        <v>11900</v>
      </c>
      <c r="B103" t="s">
        <v>1647</v>
      </c>
    </row>
    <row r="104" spans="1:2" x14ac:dyDescent="0.25">
      <c r="A104">
        <v>11950</v>
      </c>
      <c r="B104" t="s">
        <v>1648</v>
      </c>
    </row>
    <row r="105" spans="1:2" x14ac:dyDescent="0.25">
      <c r="A105">
        <v>11962</v>
      </c>
      <c r="B105" t="s">
        <v>1649</v>
      </c>
    </row>
    <row r="106" spans="1:2" x14ac:dyDescent="0.25">
      <c r="A106">
        <v>11963</v>
      </c>
      <c r="B106" t="s">
        <v>1650</v>
      </c>
    </row>
    <row r="107" spans="1:2" x14ac:dyDescent="0.25">
      <c r="A107">
        <v>12200</v>
      </c>
      <c r="B107" t="s">
        <v>1651</v>
      </c>
    </row>
    <row r="108" spans="1:2" x14ac:dyDescent="0.25">
      <c r="A108">
        <v>12257</v>
      </c>
      <c r="B108" t="s">
        <v>1652</v>
      </c>
    </row>
    <row r="109" spans="1:2" x14ac:dyDescent="0.25">
      <c r="A109">
        <v>13900</v>
      </c>
      <c r="B109" t="s">
        <v>1653</v>
      </c>
    </row>
    <row r="110" spans="1:2" x14ac:dyDescent="0.25">
      <c r="A110">
        <v>13976</v>
      </c>
      <c r="B110" t="s">
        <v>1654</v>
      </c>
    </row>
    <row r="111" spans="1:2" x14ac:dyDescent="0.25">
      <c r="A111">
        <v>13977</v>
      </c>
      <c r="B111" t="s">
        <v>1655</v>
      </c>
    </row>
    <row r="112" spans="1:2" x14ac:dyDescent="0.25">
      <c r="A112">
        <v>14900</v>
      </c>
      <c r="B112" t="s">
        <v>1656</v>
      </c>
    </row>
    <row r="113" spans="1:2" x14ac:dyDescent="0.25">
      <c r="A113">
        <v>14932</v>
      </c>
      <c r="B113" t="s">
        <v>1657</v>
      </c>
    </row>
    <row r="114" spans="1:2" x14ac:dyDescent="0.25">
      <c r="A114">
        <v>15002</v>
      </c>
      <c r="B114" t="s">
        <v>1658</v>
      </c>
    </row>
    <row r="115" spans="1:2" x14ac:dyDescent="0.25">
      <c r="A115">
        <v>15361</v>
      </c>
      <c r="B115" t="s">
        <v>1659</v>
      </c>
    </row>
    <row r="116" spans="1:2" x14ac:dyDescent="0.25">
      <c r="A116">
        <v>17207</v>
      </c>
      <c r="B116" t="s">
        <v>1660</v>
      </c>
    </row>
    <row r="117" spans="1:2" x14ac:dyDescent="0.25">
      <c r="A117">
        <v>17500</v>
      </c>
      <c r="B117" t="s">
        <v>1661</v>
      </c>
    </row>
    <row r="118" spans="1:2" x14ac:dyDescent="0.25">
      <c r="A118">
        <v>17513</v>
      </c>
      <c r="B118" t="s">
        <v>1662</v>
      </c>
    </row>
    <row r="119" spans="1:2" x14ac:dyDescent="0.25">
      <c r="A119">
        <v>17514</v>
      </c>
      <c r="B119" t="s">
        <v>1663</v>
      </c>
    </row>
    <row r="120" spans="1:2" x14ac:dyDescent="0.25">
      <c r="A120">
        <v>18105</v>
      </c>
      <c r="B120" t="s">
        <v>1664</v>
      </c>
    </row>
    <row r="121" spans="1:2" x14ac:dyDescent="0.25">
      <c r="A121">
        <v>18900</v>
      </c>
      <c r="B121" t="s">
        <v>1665</v>
      </c>
    </row>
    <row r="122" spans="1:2" x14ac:dyDescent="0.25">
      <c r="A122">
        <v>18936</v>
      </c>
      <c r="B122" t="s">
        <v>1666</v>
      </c>
    </row>
    <row r="123" spans="1:2" x14ac:dyDescent="0.25">
      <c r="A123">
        <v>18937</v>
      </c>
      <c r="B123" t="s">
        <v>1667</v>
      </c>
    </row>
    <row r="124" spans="1:2" x14ac:dyDescent="0.25">
      <c r="A124">
        <v>19201</v>
      </c>
      <c r="B124" t="s">
        <v>1668</v>
      </c>
    </row>
    <row r="125" spans="1:2" x14ac:dyDescent="0.25">
      <c r="A125">
        <v>19701</v>
      </c>
      <c r="B125" t="s">
        <v>1669</v>
      </c>
    </row>
    <row r="126" spans="1:2" x14ac:dyDescent="0.25">
      <c r="A126">
        <v>19705</v>
      </c>
      <c r="B126" t="s">
        <v>1670</v>
      </c>
    </row>
    <row r="127" spans="1:2" x14ac:dyDescent="0.25">
      <c r="A127">
        <v>19709</v>
      </c>
      <c r="B127" t="s">
        <v>1671</v>
      </c>
    </row>
    <row r="128" spans="1:2" x14ac:dyDescent="0.25">
      <c r="A128">
        <v>19710</v>
      </c>
      <c r="B128" t="s">
        <v>1591</v>
      </c>
    </row>
    <row r="129" spans="1:2" x14ac:dyDescent="0.25">
      <c r="A129">
        <v>19714</v>
      </c>
      <c r="B129" t="s">
        <v>1672</v>
      </c>
    </row>
    <row r="130" spans="1:2" x14ac:dyDescent="0.25">
      <c r="A130">
        <v>19715</v>
      </c>
      <c r="B130" t="s">
        <v>1673</v>
      </c>
    </row>
    <row r="131" spans="1:2" x14ac:dyDescent="0.25">
      <c r="A131">
        <v>19777</v>
      </c>
      <c r="B131" t="s">
        <v>1674</v>
      </c>
    </row>
    <row r="132" spans="1:2" x14ac:dyDescent="0.25">
      <c r="A132">
        <v>19778</v>
      </c>
      <c r="B132" t="s">
        <v>1675</v>
      </c>
    </row>
    <row r="133" spans="1:2" x14ac:dyDescent="0.25">
      <c r="A133">
        <v>19890</v>
      </c>
      <c r="B133" t="s">
        <v>1676</v>
      </c>
    </row>
    <row r="134" spans="1:2" x14ac:dyDescent="0.25">
      <c r="A134">
        <v>19901</v>
      </c>
      <c r="B134" t="s">
        <v>1677</v>
      </c>
    </row>
    <row r="135" spans="1:2" x14ac:dyDescent="0.25">
      <c r="A135">
        <v>19933</v>
      </c>
      <c r="B135" t="s">
        <v>1678</v>
      </c>
    </row>
    <row r="136" spans="1:2" x14ac:dyDescent="0.25">
      <c r="A136">
        <v>20085</v>
      </c>
      <c r="B136" t="s">
        <v>1679</v>
      </c>
    </row>
    <row r="137" spans="1:2" x14ac:dyDescent="0.25">
      <c r="A137">
        <v>20959</v>
      </c>
      <c r="B137" t="s">
        <v>1680</v>
      </c>
    </row>
    <row r="138" spans="1:2" x14ac:dyDescent="0.25">
      <c r="A138">
        <v>20987</v>
      </c>
      <c r="B138" t="s">
        <v>1681</v>
      </c>
    </row>
    <row r="139" spans="1:2" x14ac:dyDescent="0.25">
      <c r="A139">
        <v>20989</v>
      </c>
      <c r="B139" t="s">
        <v>1682</v>
      </c>
    </row>
    <row r="140" spans="1:2" x14ac:dyDescent="0.25">
      <c r="A140">
        <v>20990</v>
      </c>
      <c r="B140" t="s">
        <v>1683</v>
      </c>
    </row>
    <row r="141" spans="1:2" x14ac:dyDescent="0.25">
      <c r="A141">
        <v>22001</v>
      </c>
      <c r="B141" t="s">
        <v>1684</v>
      </c>
    </row>
    <row r="142" spans="1:2" x14ac:dyDescent="0.25">
      <c r="A142">
        <v>23001</v>
      </c>
      <c r="B142" t="s">
        <v>1685</v>
      </c>
    </row>
    <row r="143" spans="1:2" x14ac:dyDescent="0.25">
      <c r="A143">
        <v>24009</v>
      </c>
      <c r="B143" t="s">
        <v>1686</v>
      </c>
    </row>
    <row r="144" spans="1:2" x14ac:dyDescent="0.25">
      <c r="A144">
        <v>30110</v>
      </c>
      <c r="B144" t="s">
        <v>1687</v>
      </c>
    </row>
    <row r="145" spans="1:2" x14ac:dyDescent="0.25">
      <c r="A145">
        <v>31174</v>
      </c>
      <c r="B145" t="s">
        <v>1688</v>
      </c>
    </row>
    <row r="146" spans="1:2" x14ac:dyDescent="0.25">
      <c r="A146">
        <v>31175</v>
      </c>
      <c r="B146" t="s">
        <v>1689</v>
      </c>
    </row>
    <row r="147" spans="1:2" x14ac:dyDescent="0.25">
      <c r="A147">
        <v>31220</v>
      </c>
      <c r="B147" t="s">
        <v>1690</v>
      </c>
    </row>
    <row r="148" spans="1:2" x14ac:dyDescent="0.25">
      <c r="A148">
        <v>31226</v>
      </c>
      <c r="B148" t="s">
        <v>1691</v>
      </c>
    </row>
    <row r="149" spans="1:2" x14ac:dyDescent="0.25">
      <c r="A149">
        <v>31276</v>
      </c>
      <c r="B149" t="s">
        <v>1692</v>
      </c>
    </row>
    <row r="150" spans="1:2" x14ac:dyDescent="0.25">
      <c r="A150">
        <v>31353</v>
      </c>
      <c r="B150" t="s">
        <v>1693</v>
      </c>
    </row>
    <row r="151" spans="1:2" x14ac:dyDescent="0.25">
      <c r="A151">
        <v>31373</v>
      </c>
      <c r="B151" t="s">
        <v>1694</v>
      </c>
    </row>
    <row r="152" spans="1:2" x14ac:dyDescent="0.25">
      <c r="A152">
        <v>31381</v>
      </c>
      <c r="B152" t="s">
        <v>1695</v>
      </c>
    </row>
    <row r="153" spans="1:2" x14ac:dyDescent="0.25">
      <c r="A153">
        <v>31382</v>
      </c>
      <c r="B153" t="s">
        <v>1652</v>
      </c>
    </row>
    <row r="154" spans="1:2" x14ac:dyDescent="0.25">
      <c r="A154">
        <v>31388</v>
      </c>
      <c r="B154" t="s">
        <v>1696</v>
      </c>
    </row>
    <row r="155" spans="1:2" x14ac:dyDescent="0.25">
      <c r="A155">
        <v>31422</v>
      </c>
      <c r="B155" t="s">
        <v>413</v>
      </c>
    </row>
    <row r="156" spans="1:2" x14ac:dyDescent="0.25">
      <c r="A156">
        <v>31423</v>
      </c>
      <c r="B156" t="s">
        <v>413</v>
      </c>
    </row>
    <row r="157" spans="1:2" x14ac:dyDescent="0.25">
      <c r="A157">
        <v>31424</v>
      </c>
      <c r="B157" t="s">
        <v>413</v>
      </c>
    </row>
    <row r="158" spans="1:2" x14ac:dyDescent="0.25">
      <c r="A158">
        <v>31425</v>
      </c>
      <c r="B158" t="s">
        <v>413</v>
      </c>
    </row>
    <row r="159" spans="1:2" x14ac:dyDescent="0.25">
      <c r="A159">
        <v>40324</v>
      </c>
      <c r="B159" t="s">
        <v>1697</v>
      </c>
    </row>
    <row r="160" spans="1:2" x14ac:dyDescent="0.25">
      <c r="A160">
        <v>40325</v>
      </c>
      <c r="B160" t="s">
        <v>1698</v>
      </c>
    </row>
    <row r="161" spans="1:2" x14ac:dyDescent="0.25">
      <c r="A161">
        <v>45017</v>
      </c>
      <c r="B161" t="s">
        <v>1699</v>
      </c>
    </row>
    <row r="162" spans="1:2" x14ac:dyDescent="0.25">
      <c r="A162">
        <v>45018</v>
      </c>
      <c r="B162" t="s">
        <v>1700</v>
      </c>
    </row>
    <row r="163" spans="1:2" x14ac:dyDescent="0.25">
      <c r="A163">
        <v>45034</v>
      </c>
      <c r="B163" t="s">
        <v>1701</v>
      </c>
    </row>
    <row r="164" spans="1:2" x14ac:dyDescent="0.25">
      <c r="A164">
        <v>49001</v>
      </c>
      <c r="B164" t="s">
        <v>1702</v>
      </c>
    </row>
    <row r="165" spans="1:2" x14ac:dyDescent="0.25">
      <c r="A165">
        <v>50400</v>
      </c>
      <c r="B165" t="s">
        <v>1703</v>
      </c>
    </row>
    <row r="166" spans="1:2" x14ac:dyDescent="0.25">
      <c r="A166">
        <v>50499</v>
      </c>
      <c r="B166" t="s">
        <v>1704</v>
      </c>
    </row>
    <row r="167" spans="1:2" x14ac:dyDescent="0.25">
      <c r="A167">
        <v>50550</v>
      </c>
      <c r="B167" t="s">
        <v>1705</v>
      </c>
    </row>
    <row r="168" spans="1:2" x14ac:dyDescent="0.25">
      <c r="A168">
        <v>50590</v>
      </c>
      <c r="B168" t="s">
        <v>1706</v>
      </c>
    </row>
    <row r="169" spans="1:2" x14ac:dyDescent="0.25">
      <c r="A169">
        <v>50731</v>
      </c>
      <c r="B169" t="s">
        <v>1707</v>
      </c>
    </row>
    <row r="170" spans="1:2" x14ac:dyDescent="0.25">
      <c r="A170">
        <v>50733</v>
      </c>
      <c r="B170" t="s">
        <v>1708</v>
      </c>
    </row>
    <row r="171" spans="1:2" x14ac:dyDescent="0.25">
      <c r="A171">
        <v>50734</v>
      </c>
      <c r="B171" t="s">
        <v>1709</v>
      </c>
    </row>
    <row r="172" spans="1:2" x14ac:dyDescent="0.25">
      <c r="A172">
        <v>50809</v>
      </c>
      <c r="B172" t="s">
        <v>1710</v>
      </c>
    </row>
    <row r="173" spans="1:2" x14ac:dyDescent="0.25">
      <c r="A173">
        <v>50850</v>
      </c>
      <c r="B173" t="s">
        <v>1711</v>
      </c>
    </row>
    <row r="174" spans="1:2" x14ac:dyDescent="0.25">
      <c r="A174">
        <v>52012</v>
      </c>
      <c r="B174" t="s">
        <v>1712</v>
      </c>
    </row>
    <row r="175" spans="1:2" x14ac:dyDescent="0.25">
      <c r="A175">
        <v>53556</v>
      </c>
      <c r="B175" t="s">
        <v>1713</v>
      </c>
    </row>
    <row r="176" spans="1:2" x14ac:dyDescent="0.25">
      <c r="A176">
        <v>54444</v>
      </c>
      <c r="B176" t="s">
        <v>1714</v>
      </c>
    </row>
    <row r="177" spans="1:2" x14ac:dyDescent="0.25">
      <c r="A177">
        <v>54464</v>
      </c>
      <c r="B177" t="s">
        <v>1715</v>
      </c>
    </row>
    <row r="178" spans="1:2" x14ac:dyDescent="0.25">
      <c r="A178">
        <v>54465</v>
      </c>
      <c r="B178" t="s">
        <v>1716</v>
      </c>
    </row>
    <row r="179" spans="1:2" x14ac:dyDescent="0.25">
      <c r="A179">
        <v>54466</v>
      </c>
      <c r="B179" t="s">
        <v>1717</v>
      </c>
    </row>
    <row r="180" spans="1:2" x14ac:dyDescent="0.25">
      <c r="A180">
        <v>54467</v>
      </c>
      <c r="B180" t="s">
        <v>1718</v>
      </c>
    </row>
    <row r="181" spans="1:2" x14ac:dyDescent="0.25">
      <c r="A181">
        <v>54468</v>
      </c>
      <c r="B181" t="s">
        <v>1719</v>
      </c>
    </row>
    <row r="182" spans="1:2" x14ac:dyDescent="0.25">
      <c r="A182">
        <v>54469</v>
      </c>
      <c r="B182" t="s">
        <v>1720</v>
      </c>
    </row>
    <row r="183" spans="1:2" x14ac:dyDescent="0.25">
      <c r="A183">
        <v>54471</v>
      </c>
      <c r="B183" t="s">
        <v>1721</v>
      </c>
    </row>
    <row r="184" spans="1:2" x14ac:dyDescent="0.25">
      <c r="A184">
        <v>54512</v>
      </c>
      <c r="B184" t="s">
        <v>1722</v>
      </c>
    </row>
    <row r="185" spans="1:2" x14ac:dyDescent="0.25">
      <c r="A185">
        <v>60007</v>
      </c>
      <c r="B185" t="s">
        <v>1723</v>
      </c>
    </row>
    <row r="186" spans="1:2" x14ac:dyDescent="0.25">
      <c r="A186">
        <v>60099</v>
      </c>
      <c r="B186" t="s">
        <v>1724</v>
      </c>
    </row>
    <row r="187" spans="1:2" x14ac:dyDescent="0.25">
      <c r="A187">
        <v>60494</v>
      </c>
      <c r="B187" t="s">
        <v>1725</v>
      </c>
    </row>
    <row r="188" spans="1:2" x14ac:dyDescent="0.25">
      <c r="A188">
        <v>60495</v>
      </c>
      <c r="B188" t="s">
        <v>1726</v>
      </c>
    </row>
    <row r="189" spans="1:2" x14ac:dyDescent="0.25">
      <c r="A189">
        <v>60498</v>
      </c>
      <c r="B189" t="s">
        <v>1727</v>
      </c>
    </row>
    <row r="190" spans="1:2" x14ac:dyDescent="0.25">
      <c r="A190">
        <v>60500</v>
      </c>
      <c r="B190" t="s">
        <v>1728</v>
      </c>
    </row>
    <row r="191" spans="1:2" x14ac:dyDescent="0.25">
      <c r="A191">
        <v>60501</v>
      </c>
      <c r="B191" t="s">
        <v>1729</v>
      </c>
    </row>
    <row r="192" spans="1:2" x14ac:dyDescent="0.25">
      <c r="A192">
        <v>60502</v>
      </c>
      <c r="B192" t="s">
        <v>1730</v>
      </c>
    </row>
    <row r="193" spans="1:2" x14ac:dyDescent="0.25">
      <c r="A193">
        <v>60503</v>
      </c>
      <c r="B193" t="s">
        <v>1731</v>
      </c>
    </row>
    <row r="194" spans="1:2" x14ac:dyDescent="0.25">
      <c r="A194">
        <v>60507</v>
      </c>
      <c r="B194" t="s">
        <v>1732</v>
      </c>
    </row>
    <row r="195" spans="1:2" x14ac:dyDescent="0.25">
      <c r="A195">
        <v>60900</v>
      </c>
      <c r="B195" t="s">
        <v>1733</v>
      </c>
    </row>
    <row r="196" spans="1:2" x14ac:dyDescent="0.25">
      <c r="A196">
        <v>61019</v>
      </c>
      <c r="B196" t="s">
        <v>1734</v>
      </c>
    </row>
    <row r="197" spans="1:2" x14ac:dyDescent="0.25">
      <c r="A197">
        <v>61045</v>
      </c>
      <c r="B197" t="s">
        <v>1735</v>
      </c>
    </row>
    <row r="198" spans="1:2" x14ac:dyDescent="0.25">
      <c r="A198">
        <v>61049</v>
      </c>
      <c r="B198" t="s">
        <v>1736</v>
      </c>
    </row>
    <row r="199" spans="1:2" x14ac:dyDescent="0.25">
      <c r="A199">
        <v>71002</v>
      </c>
      <c r="B199" t="s">
        <v>1737</v>
      </c>
    </row>
    <row r="200" spans="1:2" x14ac:dyDescent="0.25">
      <c r="A200">
        <v>80969</v>
      </c>
      <c r="B200" t="s">
        <v>1738</v>
      </c>
    </row>
    <row r="201" spans="1:2" x14ac:dyDescent="0.25">
      <c r="A201">
        <v>81006</v>
      </c>
      <c r="B201" t="s">
        <v>1739</v>
      </c>
    </row>
    <row r="202" spans="1:2" x14ac:dyDescent="0.25">
      <c r="A202">
        <v>81075</v>
      </c>
      <c r="B202" t="s">
        <v>1740</v>
      </c>
    </row>
    <row r="203" spans="1:2" x14ac:dyDescent="0.25">
      <c r="A203">
        <v>90900</v>
      </c>
      <c r="B203" t="s">
        <v>1741</v>
      </c>
    </row>
    <row r="204" spans="1:2" x14ac:dyDescent="0.25">
      <c r="A204">
        <v>92760</v>
      </c>
      <c r="B204" t="s">
        <v>1742</v>
      </c>
    </row>
    <row r="205" spans="1:2" x14ac:dyDescent="0.25">
      <c r="A205">
        <v>93826</v>
      </c>
      <c r="B205" t="s">
        <v>1743</v>
      </c>
    </row>
    <row r="206" spans="1:2" x14ac:dyDescent="0.25">
      <c r="A206">
        <v>94390</v>
      </c>
      <c r="B206" t="s">
        <v>1744</v>
      </c>
    </row>
    <row r="207" spans="1:2" x14ac:dyDescent="0.25">
      <c r="A207">
        <v>94438</v>
      </c>
      <c r="B207" t="s">
        <v>1745</v>
      </c>
    </row>
    <row r="208" spans="1:2" x14ac:dyDescent="0.25">
      <c r="A208">
        <v>96328</v>
      </c>
      <c r="B208" t="s">
        <v>1746</v>
      </c>
    </row>
    <row r="209" spans="1:2" x14ac:dyDescent="0.25">
      <c r="A209">
        <v>96329</v>
      </c>
      <c r="B209" t="s">
        <v>1747</v>
      </c>
    </row>
    <row r="210" spans="1:2" x14ac:dyDescent="0.25">
      <c r="A210">
        <v>96330</v>
      </c>
      <c r="B210" t="s">
        <v>1748</v>
      </c>
    </row>
    <row r="211" spans="1:2" x14ac:dyDescent="0.25">
      <c r="A211">
        <v>96331</v>
      </c>
      <c r="B211" t="s">
        <v>1749</v>
      </c>
    </row>
    <row r="212" spans="1:2" x14ac:dyDescent="0.25">
      <c r="A212">
        <v>96713</v>
      </c>
      <c r="B212" t="s">
        <v>1750</v>
      </c>
    </row>
    <row r="213" spans="1:2" x14ac:dyDescent="0.25">
      <c r="A213">
        <v>96714</v>
      </c>
      <c r="B213" t="s">
        <v>1751</v>
      </c>
    </row>
    <row r="214" spans="1:2" x14ac:dyDescent="0.25">
      <c r="A214">
        <v>96715</v>
      </c>
      <c r="B214" t="s">
        <v>1752</v>
      </c>
    </row>
    <row r="215" spans="1:2" x14ac:dyDescent="0.25">
      <c r="A215">
        <v>97521</v>
      </c>
      <c r="B215" t="s">
        <v>1753</v>
      </c>
    </row>
    <row r="216" spans="1:2" x14ac:dyDescent="0.25">
      <c r="A216">
        <v>97538</v>
      </c>
      <c r="B216" t="s">
        <v>1754</v>
      </c>
    </row>
    <row r="217" spans="1:2" x14ac:dyDescent="0.25">
      <c r="A217">
        <v>97616</v>
      </c>
      <c r="B217" t="s">
        <v>1755</v>
      </c>
    </row>
    <row r="218" spans="1:2" x14ac:dyDescent="0.25">
      <c r="A218">
        <v>97926</v>
      </c>
      <c r="B218" t="s">
        <v>413</v>
      </c>
    </row>
    <row r="219" spans="1:2" x14ac:dyDescent="0.25">
      <c r="A219">
        <v>97928</v>
      </c>
      <c r="B219" t="s">
        <v>413</v>
      </c>
    </row>
    <row r="220" spans="1:2" x14ac:dyDescent="0.25">
      <c r="A220">
        <v>97964</v>
      </c>
      <c r="B220" t="s">
        <v>413</v>
      </c>
    </row>
    <row r="221" spans="1:2" x14ac:dyDescent="0.25">
      <c r="A221">
        <v>98014</v>
      </c>
      <c r="B221" t="s">
        <v>413</v>
      </c>
    </row>
    <row r="222" spans="1:2" x14ac:dyDescent="0.25">
      <c r="A222">
        <v>149100</v>
      </c>
      <c r="B222" t="s">
        <v>1601</v>
      </c>
    </row>
    <row r="223" spans="1:2" x14ac:dyDescent="0.25">
      <c r="A223">
        <v>149200</v>
      </c>
      <c r="B223" t="s">
        <v>1601</v>
      </c>
    </row>
    <row r="224" spans="1:2" x14ac:dyDescent="0.25">
      <c r="A224">
        <v>149300</v>
      </c>
      <c r="B224" t="s">
        <v>1601</v>
      </c>
    </row>
    <row r="225" spans="1:2" x14ac:dyDescent="0.25">
      <c r="A225">
        <v>149400</v>
      </c>
      <c r="B225" t="s">
        <v>1756</v>
      </c>
    </row>
    <row r="226" spans="1:2" x14ac:dyDescent="0.25">
      <c r="A226">
        <v>149500</v>
      </c>
      <c r="B226" t="s">
        <v>1757</v>
      </c>
    </row>
    <row r="227" spans="1:2" x14ac:dyDescent="0.25">
      <c r="A227">
        <v>149600</v>
      </c>
      <c r="B227" t="s">
        <v>1758</v>
      </c>
    </row>
    <row r="228" spans="1:2" x14ac:dyDescent="0.25">
      <c r="A228">
        <v>149700</v>
      </c>
      <c r="B228" t="s">
        <v>1759</v>
      </c>
    </row>
    <row r="229" spans="1:2" x14ac:dyDescent="0.25">
      <c r="A229">
        <v>149800</v>
      </c>
      <c r="B229" t="s">
        <v>1760</v>
      </c>
    </row>
    <row r="230" spans="1:2" x14ac:dyDescent="0.25">
      <c r="A230">
        <v>149900</v>
      </c>
      <c r="B230" t="s">
        <v>1601</v>
      </c>
    </row>
    <row r="231" spans="1:2" x14ac:dyDescent="0.25">
      <c r="A231">
        <v>159100</v>
      </c>
      <c r="B231" t="s">
        <v>1601</v>
      </c>
    </row>
    <row r="232" spans="1:2" x14ac:dyDescent="0.25">
      <c r="A232">
        <v>159200</v>
      </c>
      <c r="B232" t="s">
        <v>1601</v>
      </c>
    </row>
    <row r="233" spans="1:2" x14ac:dyDescent="0.25">
      <c r="A233">
        <v>159300</v>
      </c>
      <c r="B233" t="s">
        <v>1601</v>
      </c>
    </row>
    <row r="234" spans="1:2" x14ac:dyDescent="0.25">
      <c r="A234">
        <v>159400</v>
      </c>
      <c r="B234" t="s">
        <v>1761</v>
      </c>
    </row>
    <row r="235" spans="1:2" x14ac:dyDescent="0.25">
      <c r="A235">
        <v>159500</v>
      </c>
      <c r="B235" t="s">
        <v>1601</v>
      </c>
    </row>
    <row r="236" spans="1:2" x14ac:dyDescent="0.25">
      <c r="A236">
        <v>180007</v>
      </c>
      <c r="B236" t="s">
        <v>1762</v>
      </c>
    </row>
    <row r="237" spans="1:2" x14ac:dyDescent="0.25">
      <c r="A237">
        <v>200020</v>
      </c>
      <c r="B237" t="s">
        <v>1763</v>
      </c>
    </row>
    <row r="238" spans="1:2" x14ac:dyDescent="0.25">
      <c r="A238">
        <v>200022</v>
      </c>
      <c r="B238" t="s">
        <v>1764</v>
      </c>
    </row>
    <row r="239" spans="1:2" x14ac:dyDescent="0.25">
      <c r="A239">
        <v>400010</v>
      </c>
      <c r="B239" t="s">
        <v>1765</v>
      </c>
    </row>
    <row r="240" spans="1:2" x14ac:dyDescent="0.25">
      <c r="A240">
        <v>400011</v>
      </c>
      <c r="B240" t="s">
        <v>1766</v>
      </c>
    </row>
    <row r="241" spans="1:2" x14ac:dyDescent="0.25">
      <c r="A241">
        <v>400012</v>
      </c>
      <c r="B241" t="s">
        <v>1767</v>
      </c>
    </row>
    <row r="242" spans="1:2" x14ac:dyDescent="0.25">
      <c r="A242">
        <v>400013</v>
      </c>
      <c r="B242" t="s">
        <v>1768</v>
      </c>
    </row>
    <row r="243" spans="1:2" x14ac:dyDescent="0.25">
      <c r="A243">
        <v>600046</v>
      </c>
      <c r="B243" t="s">
        <v>1769</v>
      </c>
    </row>
    <row r="244" spans="1:2" x14ac:dyDescent="0.25">
      <c r="A244">
        <v>600047</v>
      </c>
      <c r="B244" t="s">
        <v>1770</v>
      </c>
    </row>
    <row r="245" spans="1:2" x14ac:dyDescent="0.25">
      <c r="A245">
        <v>600055</v>
      </c>
      <c r="B245" t="s">
        <v>1771</v>
      </c>
    </row>
    <row r="246" spans="1:2" x14ac:dyDescent="0.25">
      <c r="A246">
        <v>600056</v>
      </c>
      <c r="B246" t="s">
        <v>1772</v>
      </c>
    </row>
    <row r="247" spans="1:2" x14ac:dyDescent="0.25">
      <c r="A247">
        <v>600057</v>
      </c>
      <c r="B247" t="s">
        <v>1734</v>
      </c>
    </row>
    <row r="248" spans="1:2" x14ac:dyDescent="0.25">
      <c r="A248">
        <v>600064</v>
      </c>
      <c r="B248" t="s">
        <v>1773</v>
      </c>
    </row>
    <row r="249" spans="1:2" x14ac:dyDescent="0.25">
      <c r="A249">
        <v>600075</v>
      </c>
      <c r="B249" t="s">
        <v>1774</v>
      </c>
    </row>
    <row r="250" spans="1:2" x14ac:dyDescent="0.25">
      <c r="A250">
        <v>600076</v>
      </c>
      <c r="B250" t="s">
        <v>1775</v>
      </c>
    </row>
    <row r="251" spans="1:2" x14ac:dyDescent="0.25">
      <c r="A251">
        <v>600077</v>
      </c>
      <c r="B251" t="s">
        <v>1776</v>
      </c>
    </row>
    <row r="252" spans="1:2" x14ac:dyDescent="0.25">
      <c r="A252">
        <v>600078</v>
      </c>
      <c r="B252" t="s">
        <v>1777</v>
      </c>
    </row>
    <row r="253" spans="1:2" x14ac:dyDescent="0.25">
      <c r="A253">
        <v>600079</v>
      </c>
      <c r="B253" t="s">
        <v>1778</v>
      </c>
    </row>
    <row r="254" spans="1:2" x14ac:dyDescent="0.25">
      <c r="A254">
        <v>600080</v>
      </c>
      <c r="B254" t="s">
        <v>1779</v>
      </c>
    </row>
    <row r="255" spans="1:2" x14ac:dyDescent="0.25">
      <c r="A255">
        <v>600081</v>
      </c>
      <c r="B255" t="s">
        <v>1780</v>
      </c>
    </row>
    <row r="256" spans="1:2" x14ac:dyDescent="0.25">
      <c r="A256">
        <v>600098</v>
      </c>
      <c r="B256" t="s">
        <v>1781</v>
      </c>
    </row>
    <row r="257" spans="1:2" x14ac:dyDescent="0.25">
      <c r="A257">
        <v>601050</v>
      </c>
      <c r="B257" t="s">
        <v>1782</v>
      </c>
    </row>
    <row r="258" spans="1:2" x14ac:dyDescent="0.25">
      <c r="A258">
        <v>601055</v>
      </c>
      <c r="B258" t="s">
        <v>1783</v>
      </c>
    </row>
    <row r="259" spans="1:2" x14ac:dyDescent="0.25">
      <c r="A259">
        <v>601057</v>
      </c>
      <c r="B259" t="s">
        <v>1784</v>
      </c>
    </row>
    <row r="260" spans="1:2" x14ac:dyDescent="0.25">
      <c r="A260">
        <v>6000031</v>
      </c>
      <c r="B260" t="s">
        <v>1785</v>
      </c>
    </row>
    <row r="261" spans="1:2" x14ac:dyDescent="0.25">
      <c r="A261">
        <v>6000033</v>
      </c>
      <c r="B261" t="s">
        <v>1786</v>
      </c>
    </row>
    <row r="262" spans="1:2" x14ac:dyDescent="0.25">
      <c r="A262">
        <v>6000034</v>
      </c>
      <c r="B262" t="s">
        <v>1787</v>
      </c>
    </row>
    <row r="263" spans="1:2" x14ac:dyDescent="0.25">
      <c r="A263">
        <v>6000036</v>
      </c>
      <c r="B263" t="s">
        <v>1788</v>
      </c>
    </row>
    <row r="264" spans="1:2" x14ac:dyDescent="0.25">
      <c r="A264">
        <v>6000038</v>
      </c>
      <c r="B264" t="s">
        <v>1789</v>
      </c>
    </row>
    <row r="265" spans="1:2" x14ac:dyDescent="0.25">
      <c r="A265">
        <v>6000040</v>
      </c>
      <c r="B265" t="s">
        <v>1790</v>
      </c>
    </row>
    <row r="266" spans="1:2" x14ac:dyDescent="0.25">
      <c r="A266">
        <v>6000043</v>
      </c>
      <c r="B266" t="s">
        <v>1791</v>
      </c>
    </row>
    <row r="267" spans="1:2" x14ac:dyDescent="0.25">
      <c r="A267">
        <v>6000045</v>
      </c>
      <c r="B267" t="s">
        <v>1786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D8574-871F-4729-9279-986B10BA325F}">
  <dimension ref="A1:B265"/>
  <sheetViews>
    <sheetView topLeftCell="A213" workbookViewId="0">
      <selection activeCell="B224" sqref="B224"/>
    </sheetView>
  </sheetViews>
  <sheetFormatPr defaultRowHeight="15" x14ac:dyDescent="0.25"/>
  <cols>
    <col min="1" max="1" width="8.140625" bestFit="1" customWidth="1"/>
    <col min="2" max="2" width="46.5703125" bestFit="1" customWidth="1"/>
    <col min="3" max="3" width="33.42578125" bestFit="1" customWidth="1"/>
    <col min="4" max="4" width="33.85546875" bestFit="1" customWidth="1"/>
  </cols>
  <sheetData>
    <row r="1" spans="1:2" x14ac:dyDescent="0.25">
      <c r="A1" t="s">
        <v>1553</v>
      </c>
      <c r="B1" t="s">
        <v>1554</v>
      </c>
    </row>
    <row r="2" spans="1:2" x14ac:dyDescent="0.25">
      <c r="A2">
        <v>6000043</v>
      </c>
      <c r="B2">
        <v>1110200470</v>
      </c>
    </row>
    <row r="3" spans="1:2" x14ac:dyDescent="0.25">
      <c r="A3">
        <v>54512</v>
      </c>
      <c r="B3">
        <v>1130903140</v>
      </c>
    </row>
    <row r="4" spans="1:2" x14ac:dyDescent="0.25">
      <c r="A4">
        <v>6000045</v>
      </c>
      <c r="B4">
        <v>1130907089</v>
      </c>
    </row>
    <row r="5" spans="1:2" x14ac:dyDescent="0.25">
      <c r="A5">
        <v>600055</v>
      </c>
      <c r="B5">
        <v>1130907844</v>
      </c>
    </row>
    <row r="6" spans="1:2" x14ac:dyDescent="0.25">
      <c r="A6">
        <v>52012</v>
      </c>
      <c r="B6">
        <v>1131134013</v>
      </c>
    </row>
    <row r="7" spans="1:2" x14ac:dyDescent="0.25">
      <c r="A7">
        <v>600081</v>
      </c>
      <c r="B7">
        <v>1135044302</v>
      </c>
    </row>
    <row r="8" spans="1:2" x14ac:dyDescent="0.25">
      <c r="A8">
        <v>600079</v>
      </c>
      <c r="B8">
        <v>1135044309</v>
      </c>
    </row>
    <row r="9" spans="1:2" x14ac:dyDescent="0.25">
      <c r="A9">
        <v>600076</v>
      </c>
      <c r="B9">
        <v>1135063974</v>
      </c>
    </row>
    <row r="10" spans="1:2" x14ac:dyDescent="0.25">
      <c r="A10">
        <v>5506</v>
      </c>
      <c r="B10">
        <v>1135390609</v>
      </c>
    </row>
    <row r="11" spans="1:2" x14ac:dyDescent="0.25">
      <c r="A11">
        <v>600064</v>
      </c>
      <c r="B11">
        <v>1140403768</v>
      </c>
    </row>
    <row r="12" spans="1:2" x14ac:dyDescent="0.25">
      <c r="A12">
        <v>6000033</v>
      </c>
      <c r="B12">
        <v>1141307893</v>
      </c>
    </row>
    <row r="13" spans="1:2" x14ac:dyDescent="0.25">
      <c r="A13">
        <v>6000036</v>
      </c>
      <c r="B13">
        <v>1141825989</v>
      </c>
    </row>
    <row r="14" spans="1:2" x14ac:dyDescent="0.25">
      <c r="A14">
        <v>6000038</v>
      </c>
      <c r="B14">
        <v>1142601665</v>
      </c>
    </row>
    <row r="15" spans="1:2" x14ac:dyDescent="0.25">
      <c r="A15">
        <v>50734</v>
      </c>
      <c r="B15">
        <v>1143782494</v>
      </c>
    </row>
    <row r="16" spans="1:2" x14ac:dyDescent="0.25">
      <c r="A16">
        <v>5504</v>
      </c>
      <c r="B16">
        <v>1146373068</v>
      </c>
    </row>
    <row r="17" spans="1:2" x14ac:dyDescent="0.25">
      <c r="A17">
        <v>6000040</v>
      </c>
      <c r="B17">
        <v>1151975788</v>
      </c>
    </row>
    <row r="18" spans="1:2" x14ac:dyDescent="0.25">
      <c r="A18">
        <v>600078</v>
      </c>
      <c r="B18">
        <v>1192068520</v>
      </c>
    </row>
    <row r="19" spans="1:2" x14ac:dyDescent="0.25">
      <c r="A19">
        <v>600080</v>
      </c>
      <c r="B19">
        <v>1194048328</v>
      </c>
    </row>
    <row r="20" spans="1:2" x14ac:dyDescent="0.25">
      <c r="A20">
        <v>600077</v>
      </c>
      <c r="B20">
        <v>1198793812</v>
      </c>
    </row>
    <row r="21" spans="1:2" x14ac:dyDescent="0.25">
      <c r="A21">
        <v>600075</v>
      </c>
      <c r="B21">
        <v>1199887328</v>
      </c>
    </row>
    <row r="22" spans="1:2" x14ac:dyDescent="0.25">
      <c r="A22">
        <v>600057</v>
      </c>
      <c r="B22">
        <v>1222859500</v>
      </c>
    </row>
    <row r="23" spans="1:2" x14ac:dyDescent="0.25">
      <c r="A23">
        <v>50733</v>
      </c>
      <c r="B23">
        <v>1230288501</v>
      </c>
    </row>
    <row r="24" spans="1:2" x14ac:dyDescent="0.25">
      <c r="A24">
        <v>600046</v>
      </c>
      <c r="B24">
        <v>1236002633</v>
      </c>
    </row>
    <row r="25" spans="1:2" x14ac:dyDescent="0.25">
      <c r="A25">
        <v>600056</v>
      </c>
      <c r="B25">
        <v>1236002736</v>
      </c>
    </row>
    <row r="26" spans="1:2" x14ac:dyDescent="0.25">
      <c r="A26">
        <v>600047</v>
      </c>
      <c r="B26">
        <v>1236002852</v>
      </c>
    </row>
    <row r="27" spans="1:2" x14ac:dyDescent="0.25">
      <c r="A27">
        <v>5503</v>
      </c>
      <c r="B27">
        <v>1330344005</v>
      </c>
    </row>
    <row r="28" spans="1:2" x14ac:dyDescent="0.25">
      <c r="A28">
        <v>50731</v>
      </c>
      <c r="B28">
        <v>1333456920</v>
      </c>
    </row>
    <row r="29" spans="1:2" x14ac:dyDescent="0.25">
      <c r="A29">
        <v>50400</v>
      </c>
      <c r="B29">
        <v>1399104261</v>
      </c>
    </row>
    <row r="30" spans="1:2" x14ac:dyDescent="0.25">
      <c r="A30">
        <v>5501</v>
      </c>
      <c r="B30">
        <v>1399178111</v>
      </c>
    </row>
    <row r="31" spans="1:2" x14ac:dyDescent="0.25">
      <c r="A31">
        <v>54464</v>
      </c>
      <c r="B31">
        <v>1431410686</v>
      </c>
    </row>
    <row r="32" spans="1:2" x14ac:dyDescent="0.25">
      <c r="A32">
        <v>54471</v>
      </c>
      <c r="B32">
        <v>1433331288</v>
      </c>
    </row>
    <row r="33" spans="1:2" x14ac:dyDescent="0.25">
      <c r="A33">
        <v>54466</v>
      </c>
      <c r="B33">
        <v>1433331750</v>
      </c>
    </row>
    <row r="34" spans="1:2" x14ac:dyDescent="0.25">
      <c r="A34">
        <v>53556</v>
      </c>
      <c r="B34">
        <v>1435009874</v>
      </c>
    </row>
    <row r="35" spans="1:2" x14ac:dyDescent="0.25">
      <c r="A35">
        <v>50499</v>
      </c>
      <c r="B35">
        <v>1631030084</v>
      </c>
    </row>
    <row r="36" spans="1:2" x14ac:dyDescent="0.25">
      <c r="A36">
        <v>50809</v>
      </c>
      <c r="B36">
        <v>1635085254</v>
      </c>
    </row>
    <row r="37" spans="1:2" x14ac:dyDescent="0.25">
      <c r="A37">
        <v>54468</v>
      </c>
      <c r="B37">
        <v>1635095938</v>
      </c>
    </row>
    <row r="38" spans="1:2" x14ac:dyDescent="0.25">
      <c r="A38">
        <v>50590</v>
      </c>
      <c r="B38">
        <v>1733539580</v>
      </c>
    </row>
    <row r="39" spans="1:2" x14ac:dyDescent="0.25">
      <c r="A39">
        <v>5502</v>
      </c>
      <c r="B39">
        <v>1930459900</v>
      </c>
    </row>
    <row r="40" spans="1:2" x14ac:dyDescent="0.25">
      <c r="A40">
        <v>6000034</v>
      </c>
      <c r="B40">
        <v>1931146084</v>
      </c>
    </row>
    <row r="41" spans="1:2" x14ac:dyDescent="0.25">
      <c r="A41">
        <v>54469</v>
      </c>
      <c r="B41">
        <v>1931146086</v>
      </c>
    </row>
    <row r="42" spans="1:2" x14ac:dyDescent="0.25">
      <c r="A42">
        <v>50850</v>
      </c>
      <c r="B42">
        <v>1933679458</v>
      </c>
    </row>
    <row r="43" spans="1:2" x14ac:dyDescent="0.25">
      <c r="A43">
        <v>54444</v>
      </c>
      <c r="B43">
        <v>1933729575</v>
      </c>
    </row>
    <row r="44" spans="1:2" x14ac:dyDescent="0.25">
      <c r="A44">
        <v>54465</v>
      </c>
      <c r="B44">
        <v>1935139607</v>
      </c>
    </row>
    <row r="45" spans="1:2" x14ac:dyDescent="0.25">
      <c r="A45">
        <v>54467</v>
      </c>
      <c r="B45">
        <v>1935139608</v>
      </c>
    </row>
    <row r="46" spans="1:2" x14ac:dyDescent="0.25">
      <c r="A46">
        <v>60507</v>
      </c>
      <c r="B46">
        <v>2120186949</v>
      </c>
    </row>
    <row r="47" spans="1:2" x14ac:dyDescent="0.25">
      <c r="A47">
        <v>60099</v>
      </c>
      <c r="B47">
        <v>2123912541</v>
      </c>
    </row>
    <row r="48" spans="1:2" x14ac:dyDescent="0.25">
      <c r="A48">
        <v>60501</v>
      </c>
      <c r="B48">
        <v>2130900250</v>
      </c>
    </row>
    <row r="49" spans="1:2" x14ac:dyDescent="0.25">
      <c r="A49">
        <v>60900</v>
      </c>
      <c r="B49">
        <v>2135259900</v>
      </c>
    </row>
    <row r="50" spans="1:2" x14ac:dyDescent="0.25">
      <c r="A50">
        <v>61045</v>
      </c>
      <c r="B50">
        <v>2138280113</v>
      </c>
    </row>
    <row r="51" spans="1:2" x14ac:dyDescent="0.25">
      <c r="A51">
        <v>60503</v>
      </c>
      <c r="B51">
        <v>2140404120</v>
      </c>
    </row>
    <row r="52" spans="1:2" x14ac:dyDescent="0.25">
      <c r="A52">
        <v>60500</v>
      </c>
      <c r="B52">
        <v>2140404188</v>
      </c>
    </row>
    <row r="53" spans="1:2" x14ac:dyDescent="0.25">
      <c r="A53">
        <v>60502</v>
      </c>
      <c r="B53">
        <v>2140404214</v>
      </c>
    </row>
    <row r="54" spans="1:2" x14ac:dyDescent="0.25">
      <c r="A54">
        <v>6000031</v>
      </c>
      <c r="B54">
        <v>2435120092</v>
      </c>
    </row>
    <row r="55" spans="1:2" x14ac:dyDescent="0.25">
      <c r="A55">
        <v>60495</v>
      </c>
      <c r="B55">
        <v>2435120120</v>
      </c>
    </row>
    <row r="56" spans="1:2" x14ac:dyDescent="0.25">
      <c r="A56">
        <v>60498</v>
      </c>
      <c r="B56">
        <v>2435123002</v>
      </c>
    </row>
    <row r="57" spans="1:2" x14ac:dyDescent="0.25">
      <c r="A57">
        <v>60494</v>
      </c>
      <c r="B57">
        <v>2435123033</v>
      </c>
    </row>
    <row r="58" spans="1:2" x14ac:dyDescent="0.25">
      <c r="A58">
        <v>60007</v>
      </c>
      <c r="B58">
        <v>2440092489</v>
      </c>
    </row>
    <row r="59" spans="1:2" x14ac:dyDescent="0.25">
      <c r="A59">
        <v>61019</v>
      </c>
      <c r="B59">
        <v>2440092817</v>
      </c>
    </row>
    <row r="60" spans="1:2" x14ac:dyDescent="0.25">
      <c r="A60">
        <v>11963</v>
      </c>
      <c r="B60">
        <v>2720180949</v>
      </c>
    </row>
    <row r="61" spans="1:2" x14ac:dyDescent="0.25">
      <c r="A61">
        <v>11900</v>
      </c>
      <c r="B61">
        <v>2730229300</v>
      </c>
    </row>
    <row r="62" spans="1:2" x14ac:dyDescent="0.25">
      <c r="A62">
        <v>9362</v>
      </c>
      <c r="B62">
        <v>2731509019</v>
      </c>
    </row>
    <row r="63" spans="1:2" x14ac:dyDescent="0.25">
      <c r="A63">
        <v>9360</v>
      </c>
      <c r="B63">
        <v>2740404101</v>
      </c>
    </row>
    <row r="64" spans="1:2" x14ac:dyDescent="0.25">
      <c r="A64">
        <v>11304</v>
      </c>
      <c r="B64">
        <v>2740404111</v>
      </c>
    </row>
    <row r="65" spans="1:2" x14ac:dyDescent="0.25">
      <c r="A65">
        <v>11303</v>
      </c>
      <c r="B65">
        <v>2740404120</v>
      </c>
    </row>
    <row r="66" spans="1:2" x14ac:dyDescent="0.25">
      <c r="A66">
        <v>11950</v>
      </c>
      <c r="B66">
        <v>2740424232</v>
      </c>
    </row>
    <row r="67" spans="1:2" x14ac:dyDescent="0.25">
      <c r="A67">
        <v>11962</v>
      </c>
      <c r="B67">
        <v>2831990198</v>
      </c>
    </row>
    <row r="68" spans="1:2" x14ac:dyDescent="0.25">
      <c r="A68">
        <v>7754</v>
      </c>
      <c r="B68">
        <v>3121520985</v>
      </c>
    </row>
    <row r="69" spans="1:2" x14ac:dyDescent="0.25">
      <c r="A69">
        <v>45018</v>
      </c>
      <c r="B69">
        <v>3123420975</v>
      </c>
    </row>
    <row r="70" spans="1:2" x14ac:dyDescent="0.25">
      <c r="A70">
        <v>45034</v>
      </c>
      <c r="B70">
        <v>3126262523</v>
      </c>
    </row>
    <row r="71" spans="1:2" x14ac:dyDescent="0.25">
      <c r="A71">
        <v>4900</v>
      </c>
      <c r="B71">
        <v>3132384200</v>
      </c>
    </row>
    <row r="72" spans="1:2" x14ac:dyDescent="0.25">
      <c r="A72">
        <v>40324</v>
      </c>
      <c r="B72">
        <v>3135003628</v>
      </c>
    </row>
    <row r="73" spans="1:2" x14ac:dyDescent="0.25">
      <c r="A73">
        <v>400011</v>
      </c>
      <c r="B73">
        <v>3140639873</v>
      </c>
    </row>
    <row r="74" spans="1:2" x14ac:dyDescent="0.25">
      <c r="A74">
        <v>7759</v>
      </c>
      <c r="B74">
        <v>3175192333</v>
      </c>
    </row>
    <row r="75" spans="1:2" x14ac:dyDescent="0.25">
      <c r="A75">
        <v>92760</v>
      </c>
      <c r="B75">
        <v>3182452805</v>
      </c>
    </row>
    <row r="76" spans="1:2" x14ac:dyDescent="0.25">
      <c r="A76">
        <v>7757</v>
      </c>
      <c r="B76">
        <v>3186950826</v>
      </c>
    </row>
    <row r="77" spans="1:2" x14ac:dyDescent="0.25">
      <c r="A77">
        <v>45017</v>
      </c>
      <c r="B77">
        <v>3199843519</v>
      </c>
    </row>
    <row r="78" spans="1:2" x14ac:dyDescent="0.25">
      <c r="A78">
        <v>7755</v>
      </c>
      <c r="B78">
        <v>3199904990</v>
      </c>
    </row>
    <row r="79" spans="1:2" x14ac:dyDescent="0.25">
      <c r="A79">
        <v>400012</v>
      </c>
      <c r="B79">
        <v>3231121003</v>
      </c>
    </row>
    <row r="80" spans="1:2" x14ac:dyDescent="0.25">
      <c r="A80">
        <v>400010</v>
      </c>
      <c r="B80">
        <v>3231121004</v>
      </c>
    </row>
    <row r="81" spans="1:2" x14ac:dyDescent="0.25">
      <c r="A81">
        <v>400013</v>
      </c>
      <c r="B81">
        <v>3231121008</v>
      </c>
    </row>
    <row r="82" spans="1:2" x14ac:dyDescent="0.25">
      <c r="A82">
        <v>40325</v>
      </c>
      <c r="B82">
        <v>3231121010</v>
      </c>
    </row>
    <row r="83" spans="1:2" x14ac:dyDescent="0.25">
      <c r="A83">
        <v>30110</v>
      </c>
      <c r="B83">
        <v>4130385417</v>
      </c>
    </row>
    <row r="84" spans="1:2" x14ac:dyDescent="0.25">
      <c r="A84">
        <v>3801</v>
      </c>
      <c r="B84">
        <v>4130607043</v>
      </c>
    </row>
    <row r="85" spans="1:2" x14ac:dyDescent="0.25">
      <c r="A85">
        <v>3802</v>
      </c>
      <c r="B85">
        <v>4130718888</v>
      </c>
    </row>
    <row r="86" spans="1:2" x14ac:dyDescent="0.25">
      <c r="A86">
        <v>31425</v>
      </c>
      <c r="B86">
        <v>4130737998</v>
      </c>
    </row>
    <row r="87" spans="1:2" x14ac:dyDescent="0.25">
      <c r="A87">
        <v>31424</v>
      </c>
      <c r="B87">
        <v>4131800643</v>
      </c>
    </row>
    <row r="88" spans="1:2" x14ac:dyDescent="0.25">
      <c r="A88">
        <v>31174</v>
      </c>
      <c r="B88">
        <v>4140428376</v>
      </c>
    </row>
    <row r="89" spans="1:2" x14ac:dyDescent="0.25">
      <c r="A89">
        <v>31220</v>
      </c>
      <c r="B89">
        <v>4233028272</v>
      </c>
    </row>
    <row r="90" spans="1:2" x14ac:dyDescent="0.25">
      <c r="A90">
        <v>3817</v>
      </c>
      <c r="B90">
        <v>4331421820</v>
      </c>
    </row>
    <row r="91" spans="1:2" x14ac:dyDescent="0.25">
      <c r="A91">
        <v>31373</v>
      </c>
      <c r="B91">
        <v>4430168876</v>
      </c>
    </row>
    <row r="92" spans="1:2" x14ac:dyDescent="0.25">
      <c r="A92">
        <v>3800</v>
      </c>
      <c r="B92">
        <v>4431121470</v>
      </c>
    </row>
    <row r="93" spans="1:2" x14ac:dyDescent="0.25">
      <c r="A93">
        <v>3827</v>
      </c>
      <c r="B93">
        <v>4431421179</v>
      </c>
    </row>
    <row r="94" spans="1:2" x14ac:dyDescent="0.25">
      <c r="A94">
        <v>200020</v>
      </c>
      <c r="B94">
        <v>4437711029</v>
      </c>
    </row>
    <row r="95" spans="1:2" x14ac:dyDescent="0.25">
      <c r="A95">
        <v>31276</v>
      </c>
      <c r="B95">
        <v>4531979111</v>
      </c>
    </row>
    <row r="96" spans="1:2" x14ac:dyDescent="0.25">
      <c r="A96">
        <v>31226</v>
      </c>
      <c r="B96">
        <v>4531985996</v>
      </c>
    </row>
    <row r="97" spans="1:2" x14ac:dyDescent="0.25">
      <c r="A97">
        <v>31353</v>
      </c>
      <c r="B97">
        <v>4598327814</v>
      </c>
    </row>
    <row r="98" spans="1:2" x14ac:dyDescent="0.25">
      <c r="A98">
        <v>20959</v>
      </c>
      <c r="B98">
        <v>4730253060</v>
      </c>
    </row>
    <row r="99" spans="1:2" x14ac:dyDescent="0.25">
      <c r="A99">
        <v>200022</v>
      </c>
      <c r="B99">
        <v>4731700716</v>
      </c>
    </row>
    <row r="100" spans="1:2" x14ac:dyDescent="0.25">
      <c r="A100">
        <v>2222</v>
      </c>
      <c r="B100">
        <v>4733632660</v>
      </c>
    </row>
    <row r="101" spans="1:2" x14ac:dyDescent="0.25">
      <c r="A101">
        <v>20990</v>
      </c>
      <c r="B101">
        <v>4830459420</v>
      </c>
    </row>
    <row r="102" spans="1:2" x14ac:dyDescent="0.25">
      <c r="A102">
        <v>20987</v>
      </c>
      <c r="B102">
        <v>4830459421</v>
      </c>
    </row>
    <row r="103" spans="1:2" x14ac:dyDescent="0.25">
      <c r="A103">
        <v>2921</v>
      </c>
      <c r="B103">
        <v>4830527259</v>
      </c>
    </row>
    <row r="104" spans="1:2" x14ac:dyDescent="0.25">
      <c r="A104">
        <v>20989</v>
      </c>
      <c r="B104">
        <v>4831990686</v>
      </c>
    </row>
    <row r="105" spans="1:2" x14ac:dyDescent="0.25">
      <c r="A105">
        <v>2802</v>
      </c>
      <c r="B105">
        <v>4833809404</v>
      </c>
    </row>
    <row r="106" spans="1:2" x14ac:dyDescent="0.25">
      <c r="A106">
        <v>2918</v>
      </c>
      <c r="B106">
        <v>4837711914</v>
      </c>
    </row>
    <row r="107" spans="1:2" x14ac:dyDescent="0.25">
      <c r="A107">
        <v>2913</v>
      </c>
      <c r="B107">
        <v>4933055157</v>
      </c>
    </row>
    <row r="108" spans="1:2" x14ac:dyDescent="0.25">
      <c r="A108">
        <v>94390</v>
      </c>
      <c r="B108">
        <v>5121657260</v>
      </c>
    </row>
    <row r="109" spans="1:2" x14ac:dyDescent="0.25">
      <c r="A109">
        <v>601057</v>
      </c>
      <c r="B109">
        <v>5123134140</v>
      </c>
    </row>
    <row r="110" spans="1:2" x14ac:dyDescent="0.25">
      <c r="A110">
        <v>1525</v>
      </c>
      <c r="B110">
        <v>5123910489</v>
      </c>
    </row>
    <row r="111" spans="1:2" x14ac:dyDescent="0.25">
      <c r="A111">
        <v>601050</v>
      </c>
      <c r="B111">
        <v>5123910715</v>
      </c>
    </row>
    <row r="112" spans="1:2" x14ac:dyDescent="0.25">
      <c r="A112">
        <v>19901</v>
      </c>
      <c r="B112">
        <v>5125007105</v>
      </c>
    </row>
    <row r="113" spans="1:2" x14ac:dyDescent="0.25">
      <c r="A113">
        <v>19705</v>
      </c>
      <c r="B113">
        <v>5127970466</v>
      </c>
    </row>
    <row r="114" spans="1:2" x14ac:dyDescent="0.25">
      <c r="A114">
        <v>19701</v>
      </c>
      <c r="B114">
        <v>5127970468</v>
      </c>
    </row>
    <row r="115" spans="1:2" x14ac:dyDescent="0.25">
      <c r="A115">
        <v>1400</v>
      </c>
      <c r="B115">
        <v>5130217830</v>
      </c>
    </row>
    <row r="116" spans="1:2" x14ac:dyDescent="0.25">
      <c r="A116">
        <v>19778</v>
      </c>
      <c r="B116">
        <v>5130217865</v>
      </c>
    </row>
    <row r="117" spans="1:2" x14ac:dyDescent="0.25">
      <c r="A117">
        <v>1409</v>
      </c>
      <c r="B117">
        <v>5130240484</v>
      </c>
    </row>
    <row r="118" spans="1:2" x14ac:dyDescent="0.25">
      <c r="A118">
        <v>1500</v>
      </c>
      <c r="B118">
        <v>5130287565</v>
      </c>
    </row>
    <row r="119" spans="1:2" x14ac:dyDescent="0.25">
      <c r="A119">
        <v>1402</v>
      </c>
      <c r="B119">
        <v>5130317500</v>
      </c>
    </row>
    <row r="120" spans="1:2" x14ac:dyDescent="0.25">
      <c r="A120">
        <v>1421</v>
      </c>
      <c r="B120">
        <v>5130333400</v>
      </c>
    </row>
    <row r="121" spans="1:2" x14ac:dyDescent="0.25">
      <c r="A121">
        <v>1418</v>
      </c>
      <c r="B121">
        <v>5130341500</v>
      </c>
    </row>
    <row r="122" spans="1:2" x14ac:dyDescent="0.25">
      <c r="A122">
        <v>1417</v>
      </c>
      <c r="B122">
        <v>5130375400</v>
      </c>
    </row>
    <row r="123" spans="1:2" x14ac:dyDescent="0.25">
      <c r="A123">
        <v>1403</v>
      </c>
      <c r="B123">
        <v>5130391133</v>
      </c>
    </row>
    <row r="124" spans="1:2" x14ac:dyDescent="0.25">
      <c r="A124">
        <v>1414</v>
      </c>
      <c r="B124">
        <v>5130458735</v>
      </c>
    </row>
    <row r="125" spans="1:2" x14ac:dyDescent="0.25">
      <c r="A125">
        <v>1487</v>
      </c>
      <c r="B125">
        <v>5130494906</v>
      </c>
    </row>
    <row r="126" spans="1:2" x14ac:dyDescent="0.25">
      <c r="A126">
        <v>1405</v>
      </c>
      <c r="B126">
        <v>5130552205</v>
      </c>
    </row>
    <row r="127" spans="1:2" x14ac:dyDescent="0.25">
      <c r="A127">
        <v>1476</v>
      </c>
      <c r="B127">
        <v>5130660101</v>
      </c>
    </row>
    <row r="128" spans="1:2" x14ac:dyDescent="0.25">
      <c r="A128">
        <v>149500</v>
      </c>
      <c r="B128">
        <v>5130761803</v>
      </c>
    </row>
    <row r="129" spans="1:2" x14ac:dyDescent="0.25">
      <c r="A129">
        <v>1491</v>
      </c>
      <c r="B129">
        <v>5130761818</v>
      </c>
    </row>
    <row r="130" spans="1:2" x14ac:dyDescent="0.25">
      <c r="A130">
        <v>1492</v>
      </c>
      <c r="B130">
        <v>5130761818</v>
      </c>
    </row>
    <row r="131" spans="1:2" x14ac:dyDescent="0.25">
      <c r="A131">
        <v>1493</v>
      </c>
      <c r="B131">
        <v>5130761818</v>
      </c>
    </row>
    <row r="132" spans="1:2" x14ac:dyDescent="0.25">
      <c r="A132">
        <v>1498</v>
      </c>
      <c r="B132">
        <v>5130761818</v>
      </c>
    </row>
    <row r="133" spans="1:2" x14ac:dyDescent="0.25">
      <c r="A133">
        <v>1499</v>
      </c>
      <c r="B133">
        <v>5130761818</v>
      </c>
    </row>
    <row r="134" spans="1:2" x14ac:dyDescent="0.25">
      <c r="A134">
        <v>149100</v>
      </c>
      <c r="B134">
        <v>5130761818</v>
      </c>
    </row>
    <row r="135" spans="1:2" x14ac:dyDescent="0.25">
      <c r="A135">
        <v>149200</v>
      </c>
      <c r="B135">
        <v>5130761818</v>
      </c>
    </row>
    <row r="136" spans="1:2" x14ac:dyDescent="0.25">
      <c r="A136">
        <v>149300</v>
      </c>
      <c r="B136">
        <v>5130761818</v>
      </c>
    </row>
    <row r="137" spans="1:2" x14ac:dyDescent="0.25">
      <c r="A137">
        <v>149400</v>
      </c>
      <c r="B137">
        <v>5130761818</v>
      </c>
    </row>
    <row r="138" spans="1:2" x14ac:dyDescent="0.25">
      <c r="A138">
        <v>149600</v>
      </c>
      <c r="B138">
        <v>5130761818</v>
      </c>
    </row>
    <row r="139" spans="1:2" x14ac:dyDescent="0.25">
      <c r="A139">
        <v>149700</v>
      </c>
      <c r="B139">
        <v>5130761818</v>
      </c>
    </row>
    <row r="140" spans="1:2" x14ac:dyDescent="0.25">
      <c r="A140">
        <v>159100</v>
      </c>
      <c r="B140">
        <v>5130761818</v>
      </c>
    </row>
    <row r="141" spans="1:2" x14ac:dyDescent="0.25">
      <c r="A141">
        <v>159200</v>
      </c>
      <c r="B141">
        <v>5130761818</v>
      </c>
    </row>
    <row r="142" spans="1:2" x14ac:dyDescent="0.25">
      <c r="A142">
        <v>159400</v>
      </c>
      <c r="B142">
        <v>5130761818</v>
      </c>
    </row>
    <row r="143" spans="1:2" x14ac:dyDescent="0.25">
      <c r="A143">
        <v>159500</v>
      </c>
      <c r="B143">
        <v>5130761818</v>
      </c>
    </row>
    <row r="144" spans="1:2" x14ac:dyDescent="0.25">
      <c r="A144">
        <v>10627</v>
      </c>
      <c r="B144">
        <v>5131810764</v>
      </c>
    </row>
    <row r="145" spans="1:2" x14ac:dyDescent="0.25">
      <c r="A145">
        <v>1419</v>
      </c>
      <c r="B145">
        <v>5131913502</v>
      </c>
    </row>
    <row r="146" spans="1:2" x14ac:dyDescent="0.25">
      <c r="A146">
        <v>10678</v>
      </c>
      <c r="B146">
        <v>5131917315</v>
      </c>
    </row>
    <row r="147" spans="1:2" x14ac:dyDescent="0.25">
      <c r="A147">
        <v>1401</v>
      </c>
      <c r="B147">
        <v>5133721005</v>
      </c>
    </row>
    <row r="148" spans="1:2" x14ac:dyDescent="0.25">
      <c r="A148">
        <v>1434</v>
      </c>
      <c r="B148">
        <v>5134703991</v>
      </c>
    </row>
    <row r="149" spans="1:2" x14ac:dyDescent="0.25">
      <c r="A149">
        <v>1458</v>
      </c>
      <c r="B149">
        <v>5134760212</v>
      </c>
    </row>
    <row r="150" spans="1:2" x14ac:dyDescent="0.25">
      <c r="A150">
        <v>1435</v>
      </c>
      <c r="B150">
        <v>5135008502</v>
      </c>
    </row>
    <row r="151" spans="1:2" x14ac:dyDescent="0.25">
      <c r="A151">
        <v>1497</v>
      </c>
      <c r="B151">
        <v>5135008503</v>
      </c>
    </row>
    <row r="152" spans="1:2" x14ac:dyDescent="0.25">
      <c r="A152">
        <v>10226</v>
      </c>
      <c r="B152">
        <v>5135008519</v>
      </c>
    </row>
    <row r="153" spans="1:2" x14ac:dyDescent="0.25">
      <c r="A153">
        <v>1422</v>
      </c>
      <c r="B153">
        <v>5135008531</v>
      </c>
    </row>
    <row r="154" spans="1:2" x14ac:dyDescent="0.25">
      <c r="A154">
        <v>19714</v>
      </c>
      <c r="B154">
        <v>5135008534</v>
      </c>
    </row>
    <row r="155" spans="1:2" x14ac:dyDescent="0.25">
      <c r="A155">
        <v>1436</v>
      </c>
      <c r="B155">
        <v>5135008569</v>
      </c>
    </row>
    <row r="156" spans="1:2" x14ac:dyDescent="0.25">
      <c r="A156">
        <v>1407</v>
      </c>
      <c r="B156">
        <v>5135008706</v>
      </c>
    </row>
    <row r="157" spans="1:2" x14ac:dyDescent="0.25">
      <c r="A157">
        <v>1420</v>
      </c>
      <c r="B157">
        <v>5135417815</v>
      </c>
    </row>
    <row r="158" spans="1:2" x14ac:dyDescent="0.25">
      <c r="A158">
        <v>1424</v>
      </c>
      <c r="B158">
        <v>5135472105</v>
      </c>
    </row>
    <row r="159" spans="1:2" x14ac:dyDescent="0.25">
      <c r="A159">
        <v>1439</v>
      </c>
      <c r="B159">
        <v>5135623364</v>
      </c>
    </row>
    <row r="160" spans="1:2" x14ac:dyDescent="0.25">
      <c r="A160">
        <v>1437</v>
      </c>
      <c r="B160">
        <v>5136491644</v>
      </c>
    </row>
    <row r="161" spans="1:2" x14ac:dyDescent="0.25">
      <c r="A161">
        <v>1444</v>
      </c>
      <c r="B161">
        <v>5136513206</v>
      </c>
    </row>
    <row r="162" spans="1:2" x14ac:dyDescent="0.25">
      <c r="A162">
        <v>1427</v>
      </c>
      <c r="B162">
        <v>5136621510</v>
      </c>
    </row>
    <row r="163" spans="1:2" x14ac:dyDescent="0.25">
      <c r="A163">
        <v>1496</v>
      </c>
      <c r="B163">
        <v>5136845298</v>
      </c>
    </row>
    <row r="164" spans="1:2" x14ac:dyDescent="0.25">
      <c r="A164">
        <v>1432</v>
      </c>
      <c r="B164">
        <v>5139336144</v>
      </c>
    </row>
    <row r="165" spans="1:2" x14ac:dyDescent="0.25">
      <c r="A165">
        <v>601055</v>
      </c>
      <c r="B165">
        <v>5140404007</v>
      </c>
    </row>
    <row r="166" spans="1:2" x14ac:dyDescent="0.25">
      <c r="A166">
        <v>7749</v>
      </c>
      <c r="B166">
        <v>5199508474</v>
      </c>
    </row>
    <row r="167" spans="1:2" x14ac:dyDescent="0.25">
      <c r="A167">
        <v>7750</v>
      </c>
      <c r="B167">
        <v>5199508474</v>
      </c>
    </row>
    <row r="168" spans="1:2" x14ac:dyDescent="0.25">
      <c r="A168">
        <v>2945</v>
      </c>
      <c r="B168">
        <v>5199868384</v>
      </c>
    </row>
    <row r="169" spans="1:2" x14ac:dyDescent="0.25">
      <c r="A169">
        <v>1478</v>
      </c>
      <c r="B169">
        <v>5330274555</v>
      </c>
    </row>
    <row r="170" spans="1:2" x14ac:dyDescent="0.25">
      <c r="A170">
        <v>10200</v>
      </c>
      <c r="B170">
        <v>5330551075</v>
      </c>
    </row>
    <row r="171" spans="1:2" x14ac:dyDescent="0.25">
      <c r="A171">
        <v>1490</v>
      </c>
      <c r="B171">
        <v>5333025088</v>
      </c>
    </row>
    <row r="172" spans="1:2" x14ac:dyDescent="0.25">
      <c r="A172">
        <v>1443</v>
      </c>
      <c r="B172">
        <v>5430210010</v>
      </c>
    </row>
    <row r="173" spans="1:2" x14ac:dyDescent="0.25">
      <c r="A173">
        <v>1453</v>
      </c>
      <c r="B173">
        <v>5430520700</v>
      </c>
    </row>
    <row r="174" spans="1:2" x14ac:dyDescent="0.25">
      <c r="A174">
        <v>10332</v>
      </c>
      <c r="B174">
        <v>5430835221</v>
      </c>
    </row>
    <row r="175" spans="1:2" x14ac:dyDescent="0.25">
      <c r="A175">
        <v>10333</v>
      </c>
      <c r="B175">
        <v>5433104429</v>
      </c>
    </row>
    <row r="176" spans="1:2" x14ac:dyDescent="0.25">
      <c r="A176">
        <v>19777</v>
      </c>
      <c r="B176">
        <v>5433117272</v>
      </c>
    </row>
    <row r="177" spans="1:2" x14ac:dyDescent="0.25">
      <c r="A177">
        <v>19890</v>
      </c>
      <c r="B177">
        <v>5436989827</v>
      </c>
    </row>
    <row r="178" spans="1:2" x14ac:dyDescent="0.25">
      <c r="A178">
        <v>10331</v>
      </c>
      <c r="B178">
        <v>5492980990</v>
      </c>
    </row>
    <row r="179" spans="1:2" x14ac:dyDescent="0.25">
      <c r="A179">
        <v>10650</v>
      </c>
      <c r="B179">
        <v>5520130015</v>
      </c>
    </row>
    <row r="180" spans="1:2" x14ac:dyDescent="0.25">
      <c r="A180">
        <v>10897</v>
      </c>
      <c r="B180">
        <v>5531920212</v>
      </c>
    </row>
    <row r="181" spans="1:2" x14ac:dyDescent="0.25">
      <c r="A181">
        <v>10600</v>
      </c>
      <c r="B181">
        <v>5531920213</v>
      </c>
    </row>
    <row r="182" spans="1:2" x14ac:dyDescent="0.25">
      <c r="A182">
        <v>10201</v>
      </c>
      <c r="B182">
        <v>5531920214</v>
      </c>
    </row>
    <row r="183" spans="1:2" x14ac:dyDescent="0.25">
      <c r="A183">
        <v>1485</v>
      </c>
      <c r="B183">
        <v>5531920215</v>
      </c>
    </row>
    <row r="184" spans="1:2" x14ac:dyDescent="0.25">
      <c r="A184">
        <v>19710</v>
      </c>
      <c r="B184">
        <v>5531920241</v>
      </c>
    </row>
    <row r="185" spans="1:2" x14ac:dyDescent="0.25">
      <c r="A185">
        <v>10604</v>
      </c>
      <c r="B185">
        <v>5531920242</v>
      </c>
    </row>
    <row r="186" spans="1:2" x14ac:dyDescent="0.25">
      <c r="A186">
        <v>1449</v>
      </c>
      <c r="B186">
        <v>5533024351</v>
      </c>
    </row>
    <row r="187" spans="1:2" x14ac:dyDescent="0.25">
      <c r="A187">
        <v>10330</v>
      </c>
      <c r="B187">
        <v>5533024454</v>
      </c>
    </row>
    <row r="188" spans="1:2" x14ac:dyDescent="0.25">
      <c r="A188">
        <v>19715</v>
      </c>
      <c r="B188">
        <v>5533034520</v>
      </c>
    </row>
    <row r="189" spans="1:2" x14ac:dyDescent="0.25">
      <c r="A189">
        <v>19709</v>
      </c>
      <c r="B189">
        <v>5533122368</v>
      </c>
    </row>
    <row r="190" spans="1:2" x14ac:dyDescent="0.25">
      <c r="A190">
        <v>1423</v>
      </c>
      <c r="B190">
        <v>5533311486</v>
      </c>
    </row>
    <row r="191" spans="1:2" x14ac:dyDescent="0.25">
      <c r="A191">
        <v>17207</v>
      </c>
      <c r="B191">
        <v>6231421007</v>
      </c>
    </row>
    <row r="192" spans="1:2" x14ac:dyDescent="0.25">
      <c r="A192">
        <v>15361</v>
      </c>
      <c r="B192">
        <v>6231421998</v>
      </c>
    </row>
    <row r="193" spans="1:2" x14ac:dyDescent="0.25">
      <c r="A193">
        <v>15002</v>
      </c>
      <c r="B193">
        <v>6239204600</v>
      </c>
    </row>
    <row r="194" spans="1:2" x14ac:dyDescent="0.25">
      <c r="A194">
        <v>24009</v>
      </c>
      <c r="B194">
        <v>6321041429</v>
      </c>
    </row>
    <row r="195" spans="1:2" x14ac:dyDescent="0.25">
      <c r="A195">
        <v>19201</v>
      </c>
      <c r="B195">
        <v>6530510321</v>
      </c>
    </row>
    <row r="196" spans="1:2" x14ac:dyDescent="0.25">
      <c r="A196">
        <v>12200</v>
      </c>
      <c r="B196">
        <v>6733848411</v>
      </c>
    </row>
    <row r="197" spans="1:2" x14ac:dyDescent="0.25">
      <c r="A197">
        <v>7900</v>
      </c>
      <c r="B197">
        <v>7130259687</v>
      </c>
    </row>
    <row r="198" spans="1:2" x14ac:dyDescent="0.25">
      <c r="A198">
        <v>94438</v>
      </c>
      <c r="B198">
        <v>7131907772</v>
      </c>
    </row>
    <row r="199" spans="1:2" x14ac:dyDescent="0.25">
      <c r="A199">
        <v>7815</v>
      </c>
      <c r="B199">
        <v>7135990009</v>
      </c>
    </row>
    <row r="200" spans="1:2" x14ac:dyDescent="0.25">
      <c r="A200">
        <v>7747</v>
      </c>
      <c r="B200">
        <v>7140404993</v>
      </c>
    </row>
    <row r="201" spans="1:2" x14ac:dyDescent="0.25">
      <c r="A201">
        <v>7748</v>
      </c>
      <c r="B201">
        <v>7140404994</v>
      </c>
    </row>
    <row r="202" spans="1:2" x14ac:dyDescent="0.25">
      <c r="A202">
        <v>7800</v>
      </c>
      <c r="B202">
        <v>7140421399</v>
      </c>
    </row>
    <row r="203" spans="1:2" x14ac:dyDescent="0.25">
      <c r="A203">
        <v>7758</v>
      </c>
      <c r="B203">
        <v>7185059121</v>
      </c>
    </row>
    <row r="204" spans="1:2" x14ac:dyDescent="0.25">
      <c r="A204">
        <v>49001</v>
      </c>
      <c r="B204">
        <v>7198317923</v>
      </c>
    </row>
    <row r="205" spans="1:2" x14ac:dyDescent="0.25">
      <c r="A205">
        <v>7764</v>
      </c>
      <c r="B205">
        <v>7198782448</v>
      </c>
    </row>
    <row r="206" spans="1:2" x14ac:dyDescent="0.25">
      <c r="A206">
        <v>71002</v>
      </c>
      <c r="B206">
        <v>7199375172</v>
      </c>
    </row>
    <row r="207" spans="1:2" x14ac:dyDescent="0.25">
      <c r="A207">
        <v>1416</v>
      </c>
      <c r="B207">
        <v>7598899146</v>
      </c>
    </row>
    <row r="208" spans="1:2" x14ac:dyDescent="0.25">
      <c r="A208">
        <v>7753</v>
      </c>
      <c r="B208">
        <v>7720181430</v>
      </c>
    </row>
    <row r="209" spans="1:2" x14ac:dyDescent="0.25">
      <c r="A209">
        <v>93826</v>
      </c>
      <c r="B209">
        <v>7931420814</v>
      </c>
    </row>
    <row r="210" spans="1:2" x14ac:dyDescent="0.25">
      <c r="A210">
        <v>8399</v>
      </c>
      <c r="B210">
        <v>8130364509</v>
      </c>
    </row>
    <row r="211" spans="1:2" x14ac:dyDescent="0.25">
      <c r="A211">
        <v>80969</v>
      </c>
      <c r="B211">
        <v>8131369186</v>
      </c>
    </row>
    <row r="212" spans="1:2" x14ac:dyDescent="0.25">
      <c r="A212">
        <v>81006</v>
      </c>
      <c r="B212">
        <v>8140404870</v>
      </c>
    </row>
    <row r="213" spans="1:2" x14ac:dyDescent="0.25">
      <c r="A213">
        <v>23001</v>
      </c>
      <c r="B213">
        <v>8230250599</v>
      </c>
    </row>
    <row r="214" spans="1:2" x14ac:dyDescent="0.25">
      <c r="A214">
        <v>18900</v>
      </c>
      <c r="B214">
        <v>8330230223</v>
      </c>
    </row>
    <row r="215" spans="1:2" x14ac:dyDescent="0.25">
      <c r="A215">
        <v>18105</v>
      </c>
      <c r="B215">
        <v>8330659194</v>
      </c>
    </row>
    <row r="216" spans="1:2" x14ac:dyDescent="0.25">
      <c r="A216">
        <v>81075</v>
      </c>
      <c r="B216">
        <v>8331136320</v>
      </c>
    </row>
    <row r="217" spans="1:2" x14ac:dyDescent="0.25">
      <c r="A217">
        <v>18936</v>
      </c>
      <c r="B217">
        <v>8331420927</v>
      </c>
    </row>
    <row r="218" spans="1:2" x14ac:dyDescent="0.25">
      <c r="A218">
        <v>18937</v>
      </c>
      <c r="B218">
        <v>8331420988</v>
      </c>
    </row>
    <row r="219" spans="1:2" x14ac:dyDescent="0.25">
      <c r="A219">
        <v>96715</v>
      </c>
      <c r="B219">
        <v>8388866159</v>
      </c>
    </row>
    <row r="220" spans="1:2" x14ac:dyDescent="0.25">
      <c r="A220">
        <v>97926</v>
      </c>
      <c r="B220">
        <v>8399855655</v>
      </c>
    </row>
    <row r="221" spans="1:2" x14ac:dyDescent="0.25">
      <c r="A221">
        <v>97928</v>
      </c>
      <c r="B221">
        <v>8399855655</v>
      </c>
    </row>
    <row r="222" spans="1:2" x14ac:dyDescent="0.25">
      <c r="A222">
        <v>14900</v>
      </c>
      <c r="B222">
        <v>8430269393</v>
      </c>
    </row>
    <row r="223" spans="1:2" x14ac:dyDescent="0.25">
      <c r="A223">
        <v>14932</v>
      </c>
      <c r="B223">
        <v>8440422066</v>
      </c>
    </row>
    <row r="224" spans="1:2" x14ac:dyDescent="0.25">
      <c r="A224">
        <v>9368</v>
      </c>
      <c r="B224">
        <v>8521807431</v>
      </c>
    </row>
    <row r="225" spans="1:2" x14ac:dyDescent="0.25">
      <c r="A225">
        <v>90900</v>
      </c>
      <c r="B225">
        <v>8530348300</v>
      </c>
    </row>
    <row r="226" spans="1:2" x14ac:dyDescent="0.25">
      <c r="A226">
        <v>97538</v>
      </c>
      <c r="B226">
        <v>8535121120</v>
      </c>
    </row>
    <row r="227" spans="1:2" x14ac:dyDescent="0.25">
      <c r="A227">
        <v>9370</v>
      </c>
      <c r="B227">
        <v>8521806097</v>
      </c>
    </row>
    <row r="228" spans="1:2" x14ac:dyDescent="0.25">
      <c r="A228">
        <v>20085</v>
      </c>
      <c r="B228">
        <v>8631421138</v>
      </c>
    </row>
    <row r="229" spans="1:2" x14ac:dyDescent="0.25">
      <c r="A229">
        <v>17500</v>
      </c>
      <c r="B229">
        <v>9133550432</v>
      </c>
    </row>
    <row r="230" spans="1:2" x14ac:dyDescent="0.25">
      <c r="A230">
        <v>180007</v>
      </c>
      <c r="B230">
        <v>9133550739</v>
      </c>
    </row>
    <row r="231" spans="1:2" x14ac:dyDescent="0.25">
      <c r="A231">
        <v>17513</v>
      </c>
      <c r="B231">
        <v>9140404946</v>
      </c>
    </row>
    <row r="232" spans="1:2" x14ac:dyDescent="0.25">
      <c r="A232">
        <v>17514</v>
      </c>
      <c r="B232">
        <v>9140404951</v>
      </c>
    </row>
    <row r="233" spans="1:2" x14ac:dyDescent="0.25">
      <c r="A233">
        <v>600098</v>
      </c>
      <c r="B233">
        <v>9185297667</v>
      </c>
    </row>
    <row r="234" spans="1:2" x14ac:dyDescent="0.25">
      <c r="A234">
        <v>96331</v>
      </c>
      <c r="B234">
        <v>9231997727</v>
      </c>
    </row>
    <row r="235" spans="1:2" x14ac:dyDescent="0.25">
      <c r="A235">
        <v>96713</v>
      </c>
      <c r="B235">
        <v>9231997737</v>
      </c>
    </row>
    <row r="236" spans="1:2" x14ac:dyDescent="0.25">
      <c r="A236">
        <v>96330</v>
      </c>
      <c r="B236">
        <v>9285148134</v>
      </c>
    </row>
    <row r="237" spans="1:2" x14ac:dyDescent="0.25">
      <c r="A237">
        <v>96329</v>
      </c>
      <c r="B237">
        <v>9298201030</v>
      </c>
    </row>
    <row r="238" spans="1:2" x14ac:dyDescent="0.25">
      <c r="A238">
        <v>96328</v>
      </c>
      <c r="B238">
        <v>9299218008</v>
      </c>
    </row>
    <row r="239" spans="1:2" x14ac:dyDescent="0.25">
      <c r="A239">
        <v>22001</v>
      </c>
      <c r="B239">
        <v>9630822152</v>
      </c>
    </row>
    <row r="240" spans="1:2" x14ac:dyDescent="0.25">
      <c r="A240">
        <v>31382</v>
      </c>
      <c r="B240">
        <v>9831960300</v>
      </c>
    </row>
    <row r="241" spans="1:2" x14ac:dyDescent="0.25">
      <c r="A241">
        <v>31381</v>
      </c>
      <c r="B241">
        <v>9831960301</v>
      </c>
    </row>
    <row r="242" spans="1:2" x14ac:dyDescent="0.25">
      <c r="A242">
        <v>31388</v>
      </c>
      <c r="B242">
        <v>9831960303</v>
      </c>
    </row>
    <row r="243" spans="1:2" x14ac:dyDescent="0.25">
      <c r="A243">
        <v>12257</v>
      </c>
      <c r="B243">
        <v>9831960348</v>
      </c>
    </row>
    <row r="244" spans="1:2" x14ac:dyDescent="0.25">
      <c r="A244">
        <v>13976</v>
      </c>
      <c r="B244">
        <v>9831961493</v>
      </c>
    </row>
    <row r="245" spans="1:2" x14ac:dyDescent="0.25">
      <c r="A245">
        <v>13900</v>
      </c>
      <c r="B245">
        <v>9833044514</v>
      </c>
    </row>
    <row r="246" spans="1:2" x14ac:dyDescent="0.25">
      <c r="A246">
        <v>1495</v>
      </c>
      <c r="B246">
        <v>5130761818</v>
      </c>
    </row>
    <row r="247" spans="1:2" x14ac:dyDescent="0.25">
      <c r="A247">
        <v>149800</v>
      </c>
      <c r="B247">
        <v>5130761818</v>
      </c>
    </row>
    <row r="248" spans="1:2" x14ac:dyDescent="0.25">
      <c r="A248">
        <v>149900</v>
      </c>
      <c r="B248">
        <v>5130761818</v>
      </c>
    </row>
    <row r="249" spans="1:2" x14ac:dyDescent="0.25">
      <c r="A249">
        <v>159300</v>
      </c>
      <c r="B249">
        <v>5130761818</v>
      </c>
    </row>
    <row r="250" spans="1:2" x14ac:dyDescent="0.25">
      <c r="A250">
        <v>7751</v>
      </c>
      <c r="B250">
        <v>7331980349</v>
      </c>
    </row>
    <row r="251" spans="1:2" x14ac:dyDescent="0.25">
      <c r="A251">
        <v>7752</v>
      </c>
      <c r="B251">
        <v>7331912778</v>
      </c>
    </row>
    <row r="252" spans="1:2" x14ac:dyDescent="0.25">
      <c r="A252">
        <v>7756</v>
      </c>
      <c r="B252">
        <v>7520180057</v>
      </c>
    </row>
    <row r="253" spans="1:2" x14ac:dyDescent="0.25">
      <c r="A253">
        <v>7760</v>
      </c>
      <c r="B253">
        <v>7520180058</v>
      </c>
    </row>
    <row r="254" spans="1:2" x14ac:dyDescent="0.25">
      <c r="A254">
        <v>7763</v>
      </c>
      <c r="B254">
        <v>7121800173</v>
      </c>
    </row>
    <row r="255" spans="1:2" x14ac:dyDescent="0.25">
      <c r="A255">
        <v>9366</v>
      </c>
      <c r="B255">
        <v>8521807430</v>
      </c>
    </row>
    <row r="256" spans="1:2" x14ac:dyDescent="0.25">
      <c r="A256">
        <v>13977</v>
      </c>
      <c r="B256">
        <v>9920180427</v>
      </c>
    </row>
    <row r="257" spans="1:2" x14ac:dyDescent="0.25">
      <c r="A257">
        <v>31175</v>
      </c>
      <c r="B257">
        <v>4140428378</v>
      </c>
    </row>
    <row r="258" spans="1:2" x14ac:dyDescent="0.25">
      <c r="A258">
        <v>31422</v>
      </c>
      <c r="B258">
        <v>4120180038</v>
      </c>
    </row>
    <row r="259" spans="1:2" x14ac:dyDescent="0.25">
      <c r="A259">
        <v>31423</v>
      </c>
      <c r="B259">
        <v>4120180017</v>
      </c>
    </row>
    <row r="260" spans="1:2" x14ac:dyDescent="0.25">
      <c r="A260">
        <v>50550</v>
      </c>
      <c r="B260">
        <v>1146200057</v>
      </c>
    </row>
    <row r="261" spans="1:2" x14ac:dyDescent="0.25">
      <c r="A261">
        <v>61049</v>
      </c>
      <c r="B261">
        <v>2120383236</v>
      </c>
    </row>
    <row r="262" spans="1:2" x14ac:dyDescent="0.25">
      <c r="A262">
        <v>96714</v>
      </c>
      <c r="B262">
        <v>9231997711</v>
      </c>
    </row>
    <row r="263" spans="1:2" x14ac:dyDescent="0.25">
      <c r="A263">
        <v>97964</v>
      </c>
      <c r="B263">
        <v>8820181086</v>
      </c>
    </row>
    <row r="264" spans="1:2" x14ac:dyDescent="0.25">
      <c r="A264">
        <v>97616</v>
      </c>
      <c r="B264">
        <v>8520186647</v>
      </c>
    </row>
    <row r="265" spans="1:2" x14ac:dyDescent="0.25">
      <c r="A265">
        <v>97521</v>
      </c>
      <c r="B265">
        <v>8520186534</v>
      </c>
    </row>
  </sheetData>
  <sortState xmlns:xlrd2="http://schemas.microsoft.com/office/spreadsheetml/2017/richdata2" ref="A2:B265">
    <sortCondition ref="B2:B265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U29"/>
  <sheetViews>
    <sheetView workbookViewId="0">
      <selection activeCell="B11" sqref="B11"/>
    </sheetView>
  </sheetViews>
  <sheetFormatPr defaultRowHeight="15" x14ac:dyDescent="0.25"/>
  <cols>
    <col min="1" max="1" width="6" bestFit="1" customWidth="1"/>
    <col min="2" max="2" width="43.5703125" bestFit="1" customWidth="1"/>
    <col min="3" max="3" width="35.42578125" bestFit="1" customWidth="1"/>
    <col min="4" max="4" width="40.42578125" bestFit="1" customWidth="1"/>
    <col min="5" max="5" width="31.42578125" bestFit="1" customWidth="1"/>
    <col min="6" max="6" width="4" bestFit="1" customWidth="1"/>
    <col min="7" max="7" width="53.7109375" bestFit="1" customWidth="1"/>
    <col min="8" max="8" width="15.7109375" bestFit="1" customWidth="1"/>
    <col min="9" max="9" width="22.5703125" bestFit="1" customWidth="1"/>
    <col min="10" max="10" width="9.7109375" bestFit="1" customWidth="1"/>
    <col min="11" max="11" width="12.140625" bestFit="1" customWidth="1"/>
    <col min="12" max="12" width="18.7109375" bestFit="1" customWidth="1"/>
    <col min="13" max="13" width="3.28515625" bestFit="1" customWidth="1"/>
    <col min="14" max="14" width="16.7109375" bestFit="1" customWidth="1"/>
    <col min="15" max="16" width="10.5703125" bestFit="1" customWidth="1"/>
    <col min="17" max="17" width="4" bestFit="1" customWidth="1"/>
    <col min="18" max="18" width="33.42578125" bestFit="1" customWidth="1"/>
    <col min="19" max="19" width="6.42578125" bestFit="1" customWidth="1"/>
    <col min="20" max="20" width="7.7109375" bestFit="1" customWidth="1"/>
  </cols>
  <sheetData>
    <row r="1" spans="1:20" x14ac:dyDescent="0.25">
      <c r="A1" s="10" t="s">
        <v>576</v>
      </c>
      <c r="B1" s="10" t="s">
        <v>577</v>
      </c>
      <c r="C1" s="10" t="s">
        <v>585</v>
      </c>
      <c r="D1" s="10" t="s">
        <v>578</v>
      </c>
      <c r="E1" s="10" t="s">
        <v>579</v>
      </c>
      <c r="F1" s="10" t="s">
        <v>586</v>
      </c>
      <c r="G1" s="10" t="s">
        <v>587</v>
      </c>
      <c r="H1" s="10" t="s">
        <v>588</v>
      </c>
      <c r="I1" s="10" t="s">
        <v>582</v>
      </c>
      <c r="J1" s="10" t="s">
        <v>589</v>
      </c>
      <c r="K1" s="11" t="s">
        <v>1114</v>
      </c>
      <c r="L1" s="13" t="s">
        <v>383</v>
      </c>
      <c r="M1" s="12" t="s">
        <v>372</v>
      </c>
      <c r="N1" s="14" t="s">
        <v>581</v>
      </c>
      <c r="O1" s="10" t="s">
        <v>580</v>
      </c>
      <c r="P1" s="10" t="s">
        <v>429</v>
      </c>
      <c r="Q1" s="10" t="s">
        <v>583</v>
      </c>
      <c r="R1" s="10" t="s">
        <v>584</v>
      </c>
      <c r="S1" s="12" t="s">
        <v>360</v>
      </c>
      <c r="T1" s="10" t="s">
        <v>1431</v>
      </c>
    </row>
    <row r="2" spans="1:20" x14ac:dyDescent="0.25">
      <c r="A2">
        <v>1494</v>
      </c>
      <c r="B2" t="s">
        <v>74</v>
      </c>
      <c r="C2" t="s">
        <v>1180</v>
      </c>
      <c r="D2" t="s">
        <v>18</v>
      </c>
      <c r="E2" t="s">
        <v>10</v>
      </c>
      <c r="F2" t="s">
        <v>590</v>
      </c>
      <c r="G2" t="s">
        <v>768</v>
      </c>
      <c r="H2" t="s">
        <v>592</v>
      </c>
      <c r="I2" t="s">
        <v>480</v>
      </c>
      <c r="J2" t="s">
        <v>767</v>
      </c>
      <c r="K2" s="9"/>
      <c r="L2" s="2">
        <v>0</v>
      </c>
      <c r="M2" s="2">
        <v>6</v>
      </c>
      <c r="N2" t="s">
        <v>388</v>
      </c>
      <c r="O2" t="s">
        <v>380</v>
      </c>
      <c r="P2" t="s">
        <v>428</v>
      </c>
      <c r="Q2">
        <v>254</v>
      </c>
      <c r="R2" t="s">
        <v>75</v>
      </c>
      <c r="S2" s="2" t="s">
        <v>427</v>
      </c>
    </row>
    <row r="3" spans="1:20" x14ac:dyDescent="0.25">
      <c r="A3">
        <v>10608</v>
      </c>
      <c r="B3" t="s">
        <v>148</v>
      </c>
      <c r="C3" t="s">
        <v>1180</v>
      </c>
      <c r="D3" t="s">
        <v>366</v>
      </c>
      <c r="E3" t="s">
        <v>10</v>
      </c>
      <c r="F3" t="s">
        <v>590</v>
      </c>
      <c r="G3" t="s">
        <v>1074</v>
      </c>
      <c r="H3" t="s">
        <v>592</v>
      </c>
      <c r="I3" t="s">
        <v>1075</v>
      </c>
      <c r="J3" t="s">
        <v>1076</v>
      </c>
      <c r="K3" s="9"/>
      <c r="L3" s="2">
        <v>0</v>
      </c>
      <c r="M3" s="2">
        <v>3</v>
      </c>
      <c r="N3" t="s">
        <v>388</v>
      </c>
      <c r="O3" t="s">
        <v>381</v>
      </c>
      <c r="P3" t="s">
        <v>381</v>
      </c>
      <c r="Q3">
        <v>762</v>
      </c>
      <c r="R3" t="s">
        <v>149</v>
      </c>
      <c r="S3" s="2" t="s">
        <v>427</v>
      </c>
    </row>
    <row r="4" spans="1:20" x14ac:dyDescent="0.25">
      <c r="A4">
        <v>19790</v>
      </c>
      <c r="B4" t="s">
        <v>204</v>
      </c>
      <c r="C4" t="s">
        <v>1180</v>
      </c>
      <c r="D4" t="s">
        <v>391</v>
      </c>
      <c r="E4" t="s">
        <v>10</v>
      </c>
      <c r="F4" t="s">
        <v>590</v>
      </c>
      <c r="G4" t="s">
        <v>871</v>
      </c>
      <c r="H4" t="s">
        <v>872</v>
      </c>
      <c r="I4" t="s">
        <v>431</v>
      </c>
      <c r="J4" t="s">
        <v>873</v>
      </c>
      <c r="K4" s="9"/>
      <c r="L4" s="2">
        <v>0</v>
      </c>
      <c r="M4" s="2">
        <v>3</v>
      </c>
      <c r="N4" t="s">
        <v>388</v>
      </c>
      <c r="O4" t="s">
        <v>380</v>
      </c>
      <c r="P4" t="s">
        <v>428</v>
      </c>
      <c r="Q4">
        <v>700</v>
      </c>
      <c r="R4" t="s">
        <v>205</v>
      </c>
      <c r="S4" s="2" t="s">
        <v>427</v>
      </c>
    </row>
    <row r="5" spans="1:20" x14ac:dyDescent="0.25">
      <c r="A5">
        <v>19902</v>
      </c>
      <c r="B5" t="s">
        <v>212</v>
      </c>
      <c r="C5" t="s">
        <v>1180</v>
      </c>
      <c r="D5" t="s">
        <v>7</v>
      </c>
      <c r="E5" t="s">
        <v>10</v>
      </c>
      <c r="F5" t="s">
        <v>590</v>
      </c>
      <c r="G5" t="s">
        <v>882</v>
      </c>
      <c r="H5" t="s">
        <v>883</v>
      </c>
      <c r="I5" t="s">
        <v>431</v>
      </c>
      <c r="J5" t="s">
        <v>884</v>
      </c>
      <c r="K5" s="9"/>
      <c r="L5" s="7" t="s">
        <v>567</v>
      </c>
      <c r="M5" s="2">
        <v>5</v>
      </c>
      <c r="N5" t="s">
        <v>388</v>
      </c>
      <c r="O5" t="s">
        <v>380</v>
      </c>
      <c r="P5" t="s">
        <v>428</v>
      </c>
      <c r="Q5">
        <v>706</v>
      </c>
      <c r="R5" t="s">
        <v>213</v>
      </c>
      <c r="S5" s="2" t="s">
        <v>427</v>
      </c>
    </row>
    <row r="6" spans="1:20" x14ac:dyDescent="0.25">
      <c r="A6">
        <v>9369</v>
      </c>
      <c r="B6" t="s">
        <v>565</v>
      </c>
      <c r="C6" t="s">
        <v>1180</v>
      </c>
      <c r="D6" t="s">
        <v>398</v>
      </c>
      <c r="E6" t="s">
        <v>122</v>
      </c>
      <c r="F6" t="s">
        <v>729</v>
      </c>
      <c r="G6" t="s">
        <v>1101</v>
      </c>
      <c r="H6" t="s">
        <v>1102</v>
      </c>
      <c r="I6" t="s">
        <v>472</v>
      </c>
      <c r="J6" t="s">
        <v>1103</v>
      </c>
      <c r="K6" s="9">
        <v>44214</v>
      </c>
      <c r="L6" s="7" t="s">
        <v>567</v>
      </c>
      <c r="M6" s="2"/>
      <c r="O6" t="s">
        <v>566</v>
      </c>
      <c r="S6" s="2" t="s">
        <v>427</v>
      </c>
    </row>
    <row r="7" spans="1:20" x14ac:dyDescent="0.25">
      <c r="A7">
        <v>15400</v>
      </c>
      <c r="B7" t="s">
        <v>173</v>
      </c>
      <c r="C7" t="s">
        <v>1180</v>
      </c>
      <c r="D7" t="s">
        <v>1154</v>
      </c>
      <c r="E7" t="s">
        <v>165</v>
      </c>
      <c r="F7" t="s">
        <v>607</v>
      </c>
      <c r="G7" t="s">
        <v>608</v>
      </c>
      <c r="H7" t="s">
        <v>609</v>
      </c>
      <c r="I7" t="s">
        <v>435</v>
      </c>
      <c r="J7" t="s">
        <v>610</v>
      </c>
      <c r="K7" s="9"/>
      <c r="L7" s="2">
        <v>0</v>
      </c>
      <c r="M7" s="2">
        <v>4</v>
      </c>
      <c r="N7" t="s">
        <v>388</v>
      </c>
      <c r="O7" t="s">
        <v>380</v>
      </c>
      <c r="P7" t="s">
        <v>428</v>
      </c>
      <c r="Q7">
        <v>823</v>
      </c>
      <c r="R7" t="s">
        <v>173</v>
      </c>
      <c r="S7" s="2" t="s">
        <v>427</v>
      </c>
    </row>
    <row r="8" spans="1:20" x14ac:dyDescent="0.25">
      <c r="A8">
        <v>20060</v>
      </c>
      <c r="B8" t="s">
        <v>214</v>
      </c>
      <c r="C8" t="s">
        <v>1180</v>
      </c>
      <c r="D8" t="s">
        <v>1115</v>
      </c>
      <c r="E8" t="s">
        <v>165</v>
      </c>
      <c r="F8" t="s">
        <v>1057</v>
      </c>
      <c r="G8" t="s">
        <v>1058</v>
      </c>
      <c r="H8" t="s">
        <v>1059</v>
      </c>
      <c r="I8" t="s">
        <v>546</v>
      </c>
      <c r="J8" t="s">
        <v>1060</v>
      </c>
      <c r="K8" s="9"/>
      <c r="L8" s="2">
        <v>0</v>
      </c>
      <c r="M8" s="2">
        <v>7</v>
      </c>
      <c r="N8" t="s">
        <v>389</v>
      </c>
      <c r="O8" t="s">
        <v>380</v>
      </c>
      <c r="P8" t="s">
        <v>428</v>
      </c>
      <c r="Q8">
        <v>716</v>
      </c>
      <c r="R8" t="s">
        <v>215</v>
      </c>
      <c r="S8" s="2" t="s">
        <v>427</v>
      </c>
    </row>
    <row r="9" spans="1:20" x14ac:dyDescent="0.25">
      <c r="A9">
        <v>45017</v>
      </c>
      <c r="B9" t="s">
        <v>254</v>
      </c>
      <c r="C9" t="s">
        <v>1323</v>
      </c>
      <c r="D9" t="s">
        <v>399</v>
      </c>
      <c r="E9" t="s">
        <v>165</v>
      </c>
      <c r="F9" t="s">
        <v>638</v>
      </c>
      <c r="G9" t="s">
        <v>642</v>
      </c>
      <c r="H9" t="s">
        <v>643</v>
      </c>
      <c r="I9" t="s">
        <v>444</v>
      </c>
      <c r="J9" t="s">
        <v>644</v>
      </c>
      <c r="K9" s="9"/>
      <c r="L9" s="2">
        <v>0</v>
      </c>
      <c r="M9" s="2">
        <v>4</v>
      </c>
      <c r="N9" t="s">
        <v>388</v>
      </c>
      <c r="O9" t="s">
        <v>380</v>
      </c>
      <c r="P9" t="s">
        <v>428</v>
      </c>
      <c r="Q9">
        <v>754</v>
      </c>
      <c r="R9" t="s">
        <v>255</v>
      </c>
      <c r="S9" s="2" t="s">
        <v>427</v>
      </c>
    </row>
    <row r="10" spans="1:20" x14ac:dyDescent="0.25">
      <c r="A10">
        <v>17513</v>
      </c>
      <c r="B10" t="s">
        <v>178</v>
      </c>
      <c r="C10" t="s">
        <v>1337</v>
      </c>
      <c r="D10" t="s">
        <v>1318</v>
      </c>
      <c r="E10" t="s">
        <v>165</v>
      </c>
      <c r="F10" t="s">
        <v>598</v>
      </c>
      <c r="G10" t="s">
        <v>1385</v>
      </c>
      <c r="H10" t="s">
        <v>637</v>
      </c>
      <c r="I10" t="s">
        <v>443</v>
      </c>
      <c r="J10">
        <v>0</v>
      </c>
      <c r="K10" s="9">
        <v>44319</v>
      </c>
      <c r="L10" s="7">
        <v>44319</v>
      </c>
      <c r="M10" s="2">
        <v>3</v>
      </c>
      <c r="N10" t="s">
        <v>388</v>
      </c>
      <c r="O10" t="s">
        <v>380</v>
      </c>
      <c r="P10" t="s">
        <v>428</v>
      </c>
      <c r="Q10">
        <v>847</v>
      </c>
      <c r="R10" t="s">
        <v>178</v>
      </c>
      <c r="S10" s="2" t="s">
        <v>427</v>
      </c>
    </row>
    <row r="11" spans="1:20" ht="15" customHeight="1" x14ac:dyDescent="0.25">
      <c r="A11">
        <v>19707</v>
      </c>
      <c r="B11" t="s">
        <v>192</v>
      </c>
      <c r="C11" t="s">
        <v>1462</v>
      </c>
      <c r="D11" t="s">
        <v>67</v>
      </c>
      <c r="E11" t="s">
        <v>10</v>
      </c>
      <c r="F11" t="s">
        <v>590</v>
      </c>
      <c r="G11" t="s">
        <v>673</v>
      </c>
      <c r="H11" t="s">
        <v>674</v>
      </c>
      <c r="I11" t="s">
        <v>454</v>
      </c>
      <c r="J11" t="s">
        <v>675</v>
      </c>
      <c r="K11" s="9"/>
      <c r="L11" s="2">
        <v>0</v>
      </c>
      <c r="M11" s="2">
        <v>3</v>
      </c>
      <c r="N11" t="s">
        <v>388</v>
      </c>
      <c r="O11" t="s">
        <v>380</v>
      </c>
      <c r="P11" t="s">
        <v>432</v>
      </c>
      <c r="Q11">
        <v>714</v>
      </c>
      <c r="R11" t="s">
        <v>193</v>
      </c>
      <c r="S11" s="2" t="s">
        <v>427</v>
      </c>
    </row>
    <row r="12" spans="1:20" ht="15" customHeight="1" x14ac:dyDescent="0.25">
      <c r="A12">
        <v>19880</v>
      </c>
      <c r="B12" t="s">
        <v>206</v>
      </c>
      <c r="C12" t="s">
        <v>1463</v>
      </c>
      <c r="D12" t="s">
        <v>366</v>
      </c>
      <c r="E12" t="s">
        <v>10</v>
      </c>
      <c r="F12" t="s">
        <v>590</v>
      </c>
      <c r="G12" t="s">
        <v>954</v>
      </c>
      <c r="H12" t="s">
        <v>592</v>
      </c>
      <c r="I12" t="s">
        <v>520</v>
      </c>
      <c r="J12" t="s">
        <v>955</v>
      </c>
      <c r="K12" s="9"/>
      <c r="L12" s="2">
        <v>0</v>
      </c>
      <c r="M12" s="2">
        <v>4</v>
      </c>
      <c r="N12" t="s">
        <v>388</v>
      </c>
      <c r="O12" t="s">
        <v>380</v>
      </c>
      <c r="P12" t="s">
        <v>432</v>
      </c>
      <c r="Q12">
        <v>710</v>
      </c>
      <c r="R12" t="s">
        <v>207</v>
      </c>
      <c r="S12" s="2" t="s">
        <v>427</v>
      </c>
    </row>
    <row r="13" spans="1:20" x14ac:dyDescent="0.25">
      <c r="A13">
        <v>19933</v>
      </c>
      <c r="B13" t="s">
        <v>1478</v>
      </c>
      <c r="F13" t="s">
        <v>590</v>
      </c>
      <c r="G13" t="s">
        <v>1525</v>
      </c>
      <c r="H13" t="s">
        <v>640</v>
      </c>
      <c r="I13" t="s">
        <v>964</v>
      </c>
      <c r="J13" t="s">
        <v>1526</v>
      </c>
      <c r="L13" s="7" t="s">
        <v>567</v>
      </c>
      <c r="M13" s="2" t="s">
        <v>413</v>
      </c>
      <c r="Q13">
        <v>707</v>
      </c>
      <c r="S13" s="2" t="s">
        <v>427</v>
      </c>
    </row>
    <row r="14" spans="1:20" x14ac:dyDescent="0.25">
      <c r="A14">
        <v>19707</v>
      </c>
      <c r="B14" t="s">
        <v>192</v>
      </c>
      <c r="D14" t="s">
        <v>67</v>
      </c>
      <c r="E14" t="s">
        <v>10</v>
      </c>
      <c r="F14" t="s">
        <v>590</v>
      </c>
      <c r="G14" t="s">
        <v>673</v>
      </c>
      <c r="H14" t="s">
        <v>674</v>
      </c>
      <c r="I14" t="s">
        <v>454</v>
      </c>
      <c r="J14" t="s">
        <v>675</v>
      </c>
      <c r="K14" s="9"/>
      <c r="L14" s="7" t="s">
        <v>567</v>
      </c>
      <c r="M14" s="2" t="s">
        <v>413</v>
      </c>
      <c r="N14" t="s">
        <v>388</v>
      </c>
      <c r="O14" t="s">
        <v>380</v>
      </c>
      <c r="P14" t="s">
        <v>432</v>
      </c>
      <c r="Q14">
        <v>714</v>
      </c>
      <c r="R14" t="s">
        <v>193</v>
      </c>
      <c r="S14" s="2" t="s">
        <v>427</v>
      </c>
    </row>
    <row r="15" spans="1:20" ht="15" customHeight="1" x14ac:dyDescent="0.25">
      <c r="A15">
        <v>1494</v>
      </c>
      <c r="B15" t="s">
        <v>74</v>
      </c>
      <c r="D15" t="s">
        <v>18</v>
      </c>
      <c r="E15" t="s">
        <v>10</v>
      </c>
      <c r="F15" t="s">
        <v>590</v>
      </c>
      <c r="G15" t="s">
        <v>768</v>
      </c>
      <c r="H15" t="s">
        <v>592</v>
      </c>
      <c r="I15" t="s">
        <v>480</v>
      </c>
      <c r="J15" t="s">
        <v>767</v>
      </c>
      <c r="K15" s="9"/>
      <c r="L15" s="7" t="s">
        <v>567</v>
      </c>
      <c r="M15" s="2" t="s">
        <v>413</v>
      </c>
      <c r="N15" t="s">
        <v>388</v>
      </c>
      <c r="O15" t="s">
        <v>380</v>
      </c>
      <c r="P15" t="s">
        <v>428</v>
      </c>
      <c r="Q15">
        <v>254</v>
      </c>
      <c r="R15" t="s">
        <v>75</v>
      </c>
      <c r="S15" s="2" t="s">
        <v>427</v>
      </c>
    </row>
    <row r="16" spans="1:20" ht="15" customHeight="1" x14ac:dyDescent="0.25">
      <c r="A16">
        <v>9369</v>
      </c>
      <c r="B16" t="s">
        <v>565</v>
      </c>
      <c r="D16" t="s">
        <v>398</v>
      </c>
      <c r="E16" t="s">
        <v>122</v>
      </c>
      <c r="F16" t="s">
        <v>729</v>
      </c>
      <c r="G16" t="s">
        <v>1101</v>
      </c>
      <c r="H16" t="s">
        <v>1102</v>
      </c>
      <c r="I16" t="s">
        <v>472</v>
      </c>
      <c r="J16" t="s">
        <v>1103</v>
      </c>
      <c r="K16" s="9">
        <v>44214</v>
      </c>
      <c r="L16" s="7" t="s">
        <v>567</v>
      </c>
      <c r="M16" s="2" t="s">
        <v>413</v>
      </c>
      <c r="O16" t="s">
        <v>566</v>
      </c>
      <c r="S16" s="2" t="s">
        <v>427</v>
      </c>
    </row>
    <row r="17" spans="1:21" ht="15" customHeight="1" x14ac:dyDescent="0.25">
      <c r="A17">
        <v>19880</v>
      </c>
      <c r="B17" t="s">
        <v>206</v>
      </c>
      <c r="D17" t="s">
        <v>366</v>
      </c>
      <c r="E17" t="s">
        <v>10</v>
      </c>
      <c r="F17" t="s">
        <v>590</v>
      </c>
      <c r="G17" t="s">
        <v>954</v>
      </c>
      <c r="H17" t="s">
        <v>592</v>
      </c>
      <c r="I17" t="s">
        <v>520</v>
      </c>
      <c r="J17" t="s">
        <v>955</v>
      </c>
      <c r="K17" s="9"/>
      <c r="L17" s="7" t="s">
        <v>567</v>
      </c>
      <c r="M17" s="2" t="s">
        <v>413</v>
      </c>
      <c r="N17" t="s">
        <v>388</v>
      </c>
      <c r="O17" t="s">
        <v>380</v>
      </c>
      <c r="P17" t="s">
        <v>432</v>
      </c>
      <c r="Q17">
        <v>710</v>
      </c>
      <c r="R17" t="s">
        <v>207</v>
      </c>
      <c r="S17" s="2" t="s">
        <v>427</v>
      </c>
    </row>
    <row r="18" spans="1:21" ht="15" customHeight="1" x14ac:dyDescent="0.25">
      <c r="A18">
        <v>10608</v>
      </c>
      <c r="B18" t="s">
        <v>148</v>
      </c>
      <c r="D18" t="s">
        <v>366</v>
      </c>
      <c r="E18" t="s">
        <v>10</v>
      </c>
      <c r="F18" t="s">
        <v>590</v>
      </c>
      <c r="G18" t="s">
        <v>1074</v>
      </c>
      <c r="H18" t="s">
        <v>592</v>
      </c>
      <c r="I18" t="s">
        <v>1075</v>
      </c>
      <c r="J18" t="s">
        <v>1076</v>
      </c>
      <c r="K18" s="9"/>
      <c r="L18" s="7" t="s">
        <v>567</v>
      </c>
      <c r="M18" s="2" t="s">
        <v>413</v>
      </c>
      <c r="N18" t="s">
        <v>388</v>
      </c>
      <c r="O18" t="s">
        <v>381</v>
      </c>
      <c r="P18" t="s">
        <v>381</v>
      </c>
      <c r="Q18">
        <v>762</v>
      </c>
      <c r="R18" t="s">
        <v>149</v>
      </c>
      <c r="S18" s="2" t="s">
        <v>427</v>
      </c>
    </row>
    <row r="19" spans="1:21" ht="15" customHeight="1" x14ac:dyDescent="0.25">
      <c r="A19">
        <v>19790</v>
      </c>
      <c r="B19" t="s">
        <v>204</v>
      </c>
      <c r="D19" t="s">
        <v>391</v>
      </c>
      <c r="E19" t="s">
        <v>10</v>
      </c>
      <c r="F19" t="s">
        <v>590</v>
      </c>
      <c r="G19" t="s">
        <v>871</v>
      </c>
      <c r="H19" t="s">
        <v>872</v>
      </c>
      <c r="I19" t="s">
        <v>431</v>
      </c>
      <c r="J19" t="s">
        <v>873</v>
      </c>
      <c r="K19" s="9"/>
      <c r="L19" s="7" t="s">
        <v>567</v>
      </c>
      <c r="M19" s="2" t="s">
        <v>413</v>
      </c>
      <c r="N19" t="s">
        <v>388</v>
      </c>
      <c r="O19" t="s">
        <v>380</v>
      </c>
      <c r="P19" t="s">
        <v>428</v>
      </c>
      <c r="Q19">
        <v>700</v>
      </c>
      <c r="R19" t="s">
        <v>205</v>
      </c>
      <c r="S19" s="2" t="s">
        <v>427</v>
      </c>
    </row>
    <row r="20" spans="1:21" ht="15" customHeight="1" x14ac:dyDescent="0.25">
      <c r="A20">
        <v>19902</v>
      </c>
      <c r="B20" t="s">
        <v>212</v>
      </c>
      <c r="D20" t="s">
        <v>7</v>
      </c>
      <c r="E20" t="s">
        <v>10</v>
      </c>
      <c r="F20" t="s">
        <v>590</v>
      </c>
      <c r="G20" t="s">
        <v>882</v>
      </c>
      <c r="H20" t="s">
        <v>883</v>
      </c>
      <c r="I20" t="s">
        <v>431</v>
      </c>
      <c r="J20" t="s">
        <v>884</v>
      </c>
      <c r="K20" s="9"/>
      <c r="L20" s="7" t="s">
        <v>567</v>
      </c>
      <c r="M20" s="2" t="s">
        <v>413</v>
      </c>
      <c r="N20" t="s">
        <v>388</v>
      </c>
      <c r="O20" t="s">
        <v>380</v>
      </c>
      <c r="P20" t="s">
        <v>428</v>
      </c>
      <c r="Q20">
        <v>706</v>
      </c>
      <c r="R20" t="s">
        <v>213</v>
      </c>
      <c r="S20" s="2" t="s">
        <v>427</v>
      </c>
    </row>
    <row r="21" spans="1:21" ht="15" customHeight="1" x14ac:dyDescent="0.25">
      <c r="A21">
        <v>20060</v>
      </c>
      <c r="B21" t="s">
        <v>214</v>
      </c>
      <c r="D21" t="s">
        <v>1115</v>
      </c>
      <c r="E21" t="s">
        <v>165</v>
      </c>
      <c r="F21" t="s">
        <v>1057</v>
      </c>
      <c r="G21" t="s">
        <v>1058</v>
      </c>
      <c r="H21" t="s">
        <v>1059</v>
      </c>
      <c r="I21" t="s">
        <v>546</v>
      </c>
      <c r="J21" t="s">
        <v>1060</v>
      </c>
      <c r="K21" s="9"/>
      <c r="L21" s="7" t="s">
        <v>567</v>
      </c>
      <c r="M21" s="2" t="s">
        <v>413</v>
      </c>
      <c r="N21" t="s">
        <v>389</v>
      </c>
      <c r="O21" t="s">
        <v>380</v>
      </c>
      <c r="P21" t="s">
        <v>428</v>
      </c>
      <c r="Q21">
        <v>716</v>
      </c>
      <c r="R21" t="s">
        <v>215</v>
      </c>
      <c r="S21" s="2" t="s">
        <v>427</v>
      </c>
    </row>
    <row r="22" spans="1:21" x14ac:dyDescent="0.25">
      <c r="A22">
        <v>17513</v>
      </c>
      <c r="B22" t="s">
        <v>178</v>
      </c>
      <c r="D22" t="s">
        <v>1318</v>
      </c>
      <c r="E22" t="s">
        <v>165</v>
      </c>
      <c r="F22" t="s">
        <v>598</v>
      </c>
      <c r="G22" t="s">
        <v>1385</v>
      </c>
      <c r="H22" t="s">
        <v>637</v>
      </c>
      <c r="I22" t="s">
        <v>443</v>
      </c>
      <c r="J22">
        <v>0</v>
      </c>
      <c r="L22" s="7" t="s">
        <v>567</v>
      </c>
      <c r="M22" s="2" t="s">
        <v>413</v>
      </c>
      <c r="Q22">
        <v>847</v>
      </c>
      <c r="S22" s="2" t="s">
        <v>427</v>
      </c>
    </row>
    <row r="23" spans="1:21" x14ac:dyDescent="0.25">
      <c r="A23">
        <v>45017</v>
      </c>
      <c r="B23" t="s">
        <v>254</v>
      </c>
      <c r="D23" t="s">
        <v>399</v>
      </c>
      <c r="E23" t="s">
        <v>165</v>
      </c>
      <c r="F23" t="s">
        <v>638</v>
      </c>
      <c r="G23" t="s">
        <v>642</v>
      </c>
      <c r="H23" t="s">
        <v>643</v>
      </c>
      <c r="I23" t="s">
        <v>444</v>
      </c>
      <c r="J23" t="s">
        <v>644</v>
      </c>
      <c r="L23" s="7" t="s">
        <v>567</v>
      </c>
      <c r="M23" s="2" t="s">
        <v>413</v>
      </c>
      <c r="Q23">
        <v>754</v>
      </c>
      <c r="S23" s="2" t="s">
        <v>427</v>
      </c>
    </row>
    <row r="24" spans="1:21" x14ac:dyDescent="0.25">
      <c r="A24">
        <v>7762</v>
      </c>
      <c r="B24" t="s">
        <v>1483</v>
      </c>
      <c r="D24" t="s">
        <v>399</v>
      </c>
      <c r="E24" t="s">
        <v>165</v>
      </c>
      <c r="F24" t="s">
        <v>638</v>
      </c>
      <c r="G24" t="s">
        <v>1539</v>
      </c>
      <c r="H24" t="s">
        <v>592</v>
      </c>
      <c r="I24" t="s">
        <v>1540</v>
      </c>
      <c r="J24" t="s">
        <v>1541</v>
      </c>
      <c r="L24" s="7" t="s">
        <v>567</v>
      </c>
      <c r="M24" s="2" t="s">
        <v>413</v>
      </c>
      <c r="Q24">
        <v>948</v>
      </c>
      <c r="S24" s="2" t="s">
        <v>427</v>
      </c>
    </row>
    <row r="25" spans="1:21" x14ac:dyDescent="0.25">
      <c r="A25">
        <v>15400</v>
      </c>
      <c r="B25" t="s">
        <v>173</v>
      </c>
      <c r="D25" t="s">
        <v>1154</v>
      </c>
      <c r="E25" t="s">
        <v>165</v>
      </c>
      <c r="F25" t="s">
        <v>607</v>
      </c>
      <c r="G25" t="s">
        <v>608</v>
      </c>
      <c r="H25" t="s">
        <v>609</v>
      </c>
      <c r="I25" t="s">
        <v>435</v>
      </c>
      <c r="J25" t="s">
        <v>610</v>
      </c>
      <c r="K25" s="9"/>
      <c r="L25" s="7" t="s">
        <v>567</v>
      </c>
      <c r="M25" s="2" t="s">
        <v>413</v>
      </c>
      <c r="N25" t="s">
        <v>388</v>
      </c>
      <c r="O25" t="s">
        <v>380</v>
      </c>
      <c r="P25" t="s">
        <v>428</v>
      </c>
      <c r="Q25">
        <v>823</v>
      </c>
      <c r="R25" t="s">
        <v>173</v>
      </c>
      <c r="S25" s="2" t="s">
        <v>427</v>
      </c>
    </row>
    <row r="26" spans="1:21" ht="15" customHeight="1" x14ac:dyDescent="0.25">
      <c r="A26">
        <v>54469</v>
      </c>
      <c r="B26" t="s">
        <v>374</v>
      </c>
      <c r="D26" t="s">
        <v>1226</v>
      </c>
      <c r="E26" t="s">
        <v>6</v>
      </c>
      <c r="F26" t="s">
        <v>616</v>
      </c>
      <c r="G26" t="s">
        <v>663</v>
      </c>
      <c r="H26" t="s">
        <v>664</v>
      </c>
      <c r="I26" t="s">
        <v>450</v>
      </c>
      <c r="J26" t="s">
        <v>665</v>
      </c>
      <c r="K26" s="9">
        <v>44655</v>
      </c>
      <c r="L26" s="7">
        <v>44655</v>
      </c>
      <c r="M26" s="2" t="s">
        <v>413</v>
      </c>
      <c r="N26" t="s">
        <v>388</v>
      </c>
      <c r="O26" t="s">
        <v>1821</v>
      </c>
      <c r="R26" t="s">
        <v>381</v>
      </c>
      <c r="S26">
        <v>483</v>
      </c>
      <c r="T26" t="s">
        <v>390</v>
      </c>
      <c r="U26" s="2" t="s">
        <v>427</v>
      </c>
    </row>
    <row r="27" spans="1:21" ht="15" customHeight="1" x14ac:dyDescent="0.25">
      <c r="A27">
        <v>6000043</v>
      </c>
      <c r="B27" t="s">
        <v>386</v>
      </c>
      <c r="D27" t="s">
        <v>1245</v>
      </c>
      <c r="E27" t="s">
        <v>6</v>
      </c>
      <c r="F27" t="s">
        <v>616</v>
      </c>
      <c r="G27" t="s">
        <v>1030</v>
      </c>
      <c r="H27" t="s">
        <v>1031</v>
      </c>
      <c r="I27" t="s">
        <v>537</v>
      </c>
      <c r="J27" t="s">
        <v>1032</v>
      </c>
      <c r="K27" s="9">
        <v>44713</v>
      </c>
      <c r="L27" s="7">
        <v>44713</v>
      </c>
      <c r="M27" s="2" t="s">
        <v>413</v>
      </c>
      <c r="N27" t="s">
        <v>388</v>
      </c>
      <c r="O27" t="s">
        <v>1821</v>
      </c>
      <c r="R27" t="s">
        <v>381</v>
      </c>
      <c r="S27">
        <v>488</v>
      </c>
      <c r="T27" t="s">
        <v>386</v>
      </c>
      <c r="U27" s="2" t="s">
        <v>427</v>
      </c>
    </row>
    <row r="28" spans="1:21" x14ac:dyDescent="0.25">
      <c r="A28">
        <v>600055</v>
      </c>
      <c r="B28" t="s">
        <v>334</v>
      </c>
      <c r="D28" t="s">
        <v>1245</v>
      </c>
      <c r="E28" t="s">
        <v>6</v>
      </c>
      <c r="F28" t="s">
        <v>616</v>
      </c>
      <c r="G28" t="s">
        <v>760</v>
      </c>
      <c r="H28" t="s">
        <v>761</v>
      </c>
      <c r="I28" t="s">
        <v>479</v>
      </c>
      <c r="J28" t="s">
        <v>762</v>
      </c>
      <c r="K28" s="9">
        <v>44579</v>
      </c>
      <c r="L28" s="7">
        <v>44579</v>
      </c>
      <c r="M28" s="2" t="s">
        <v>413</v>
      </c>
      <c r="N28" t="s">
        <v>388</v>
      </c>
      <c r="O28" t="s">
        <v>1822</v>
      </c>
      <c r="R28" t="s">
        <v>428</v>
      </c>
      <c r="S28">
        <v>887</v>
      </c>
      <c r="T28" t="s">
        <v>335</v>
      </c>
      <c r="U28" s="2" t="s">
        <v>427</v>
      </c>
    </row>
    <row r="29" spans="1:21" x14ac:dyDescent="0.25">
      <c r="A29">
        <v>601050</v>
      </c>
      <c r="B29" t="s">
        <v>349</v>
      </c>
      <c r="D29" t="s">
        <v>67</v>
      </c>
      <c r="E29" t="s">
        <v>10</v>
      </c>
      <c r="F29" t="s">
        <v>590</v>
      </c>
      <c r="G29" t="s">
        <v>896</v>
      </c>
      <c r="H29" t="s">
        <v>897</v>
      </c>
      <c r="I29" t="s">
        <v>431</v>
      </c>
      <c r="J29" t="s">
        <v>898</v>
      </c>
      <c r="K29" s="9">
        <v>44531</v>
      </c>
      <c r="L29" s="7">
        <v>44531</v>
      </c>
      <c r="M29" s="2" t="s">
        <v>413</v>
      </c>
      <c r="N29" t="s">
        <v>388</v>
      </c>
      <c r="O29" t="s">
        <v>1822</v>
      </c>
      <c r="R29" t="s">
        <v>428</v>
      </c>
      <c r="S29">
        <v>876</v>
      </c>
      <c r="T29" t="s">
        <v>350</v>
      </c>
      <c r="U29" s="2" t="s">
        <v>427</v>
      </c>
    </row>
  </sheetData>
  <conditionalFormatting sqref="A11:B11">
    <cfRule type="duplicateValues" dxfId="6" priority="5"/>
  </conditionalFormatting>
  <conditionalFormatting sqref="A12:B12">
    <cfRule type="duplicateValues" dxfId="5" priority="4"/>
  </conditionalFormatting>
  <conditionalFormatting sqref="A14:B14">
    <cfRule type="duplicateValues" dxfId="4" priority="3"/>
  </conditionalFormatting>
  <conditionalFormatting sqref="A15:B25">
    <cfRule type="duplicateValues" dxfId="3" priority="2"/>
  </conditionalFormatting>
  <conditionalFormatting sqref="A26:B29">
    <cfRule type="duplicateValues" dxfId="2" priority="1"/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DE30-794E-4952-8E35-FAF501AF27B1}">
  <sheetPr codeName="Planilha6"/>
  <dimension ref="A1:B6"/>
  <sheetViews>
    <sheetView workbookViewId="0">
      <selection activeCell="M15" sqref="M15"/>
    </sheetView>
  </sheetViews>
  <sheetFormatPr defaultRowHeight="15" x14ac:dyDescent="0.25"/>
  <sheetData>
    <row r="1" spans="1:2" x14ac:dyDescent="0.25">
      <c r="A1" t="s">
        <v>10</v>
      </c>
      <c r="B1">
        <v>763</v>
      </c>
    </row>
    <row r="2" spans="1:2" x14ac:dyDescent="0.25">
      <c r="A2" t="s">
        <v>6</v>
      </c>
      <c r="B2">
        <v>3826</v>
      </c>
    </row>
    <row r="3" spans="1:2" x14ac:dyDescent="0.25">
      <c r="A3" t="s">
        <v>122</v>
      </c>
      <c r="B3">
        <v>5452</v>
      </c>
    </row>
    <row r="4" spans="1:2" x14ac:dyDescent="0.25">
      <c r="A4" t="s">
        <v>1123</v>
      </c>
      <c r="B4">
        <v>15556</v>
      </c>
    </row>
    <row r="5" spans="1:2" x14ac:dyDescent="0.25">
      <c r="A5" t="s">
        <v>165</v>
      </c>
      <c r="B5">
        <v>3026</v>
      </c>
    </row>
    <row r="6" spans="1:2" x14ac:dyDescent="0.25">
      <c r="A6" t="s">
        <v>251</v>
      </c>
      <c r="B6">
        <v>6621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9EDD5-2EDF-4AFD-9FB8-6E50691C2C75}">
  <dimension ref="A1:V1"/>
  <sheetViews>
    <sheetView workbookViewId="0">
      <selection activeCell="J15" sqref="J15"/>
    </sheetView>
  </sheetViews>
  <sheetFormatPr defaultRowHeight="15" x14ac:dyDescent="0.25"/>
  <cols>
    <col min="2" max="2" width="34.7109375" customWidth="1"/>
  </cols>
  <sheetData>
    <row r="1" spans="1:22" x14ac:dyDescent="0.25">
      <c r="A1" s="12" t="s">
        <v>576</v>
      </c>
      <c r="B1" s="24" t="s">
        <v>577</v>
      </c>
      <c r="C1" s="10" t="s">
        <v>585</v>
      </c>
      <c r="D1" s="10" t="s">
        <v>578</v>
      </c>
      <c r="E1" s="10" t="s">
        <v>579</v>
      </c>
      <c r="F1" s="10" t="s">
        <v>586</v>
      </c>
      <c r="G1" s="10" t="s">
        <v>587</v>
      </c>
      <c r="H1" s="10" t="s">
        <v>588</v>
      </c>
      <c r="I1" s="10" t="s">
        <v>582</v>
      </c>
      <c r="J1" s="10" t="s">
        <v>589</v>
      </c>
      <c r="K1" s="11" t="s">
        <v>1114</v>
      </c>
      <c r="L1" s="13" t="s">
        <v>383</v>
      </c>
      <c r="M1" s="12" t="s">
        <v>372</v>
      </c>
      <c r="N1" s="14" t="s">
        <v>581</v>
      </c>
      <c r="O1" s="10" t="s">
        <v>580</v>
      </c>
      <c r="P1" s="10" t="s">
        <v>1820</v>
      </c>
      <c r="Q1" s="10" t="s">
        <v>1823</v>
      </c>
      <c r="R1" s="10" t="s">
        <v>429</v>
      </c>
      <c r="S1" s="10" t="s">
        <v>583</v>
      </c>
      <c r="T1" s="10" t="s">
        <v>584</v>
      </c>
      <c r="U1" s="12" t="s">
        <v>360</v>
      </c>
      <c r="V1" s="10" t="s">
        <v>1431</v>
      </c>
    </row>
  </sheetData>
  <conditionalFormatting sqref="A1">
    <cfRule type="duplicateValues" dxfId="1" priority="1"/>
  </conditionalFormatting>
  <conditionalFormatting sqref="A1:B1">
    <cfRule type="duplicateValues" dxfId="0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7"/>
  <dimension ref="A1:G29"/>
  <sheetViews>
    <sheetView workbookViewId="0">
      <selection activeCell="F14" sqref="F14"/>
    </sheetView>
  </sheetViews>
  <sheetFormatPr defaultRowHeight="15" x14ac:dyDescent="0.25"/>
  <cols>
    <col min="1" max="1" width="15.140625" bestFit="1" customWidth="1"/>
    <col min="2" max="2" width="15.140625" style="2" bestFit="1" customWidth="1"/>
    <col min="6" max="6" width="18" bestFit="1" customWidth="1"/>
    <col min="7" max="7" width="27.85546875" bestFit="1" customWidth="1"/>
  </cols>
  <sheetData>
    <row r="1" spans="1:7" x14ac:dyDescent="0.25">
      <c r="A1" s="6" t="s">
        <v>360</v>
      </c>
      <c r="B1" t="s">
        <v>3</v>
      </c>
      <c r="F1" s="6" t="s">
        <v>360</v>
      </c>
      <c r="G1" t="s">
        <v>3</v>
      </c>
    </row>
    <row r="2" spans="1:7" x14ac:dyDescent="0.25">
      <c r="A2" s="6" t="s">
        <v>578</v>
      </c>
      <c r="B2" t="s">
        <v>1125</v>
      </c>
      <c r="F2" s="6" t="s">
        <v>578</v>
      </c>
      <c r="G2" t="s">
        <v>1124</v>
      </c>
    </row>
    <row r="4" spans="1:7" x14ac:dyDescent="0.25">
      <c r="A4" s="6" t="s">
        <v>586</v>
      </c>
      <c r="B4" s="2" t="s">
        <v>1153</v>
      </c>
      <c r="F4" s="6" t="s">
        <v>394</v>
      </c>
      <c r="G4" t="s">
        <v>1106</v>
      </c>
    </row>
    <row r="5" spans="1:7" x14ac:dyDescent="0.25">
      <c r="A5" s="3" t="s">
        <v>808</v>
      </c>
      <c r="B5" s="2">
        <v>1</v>
      </c>
      <c r="C5" s="15">
        <f>B5/$B$28</f>
        <v>4.5454545454545452E-3</v>
      </c>
      <c r="F5" s="3" t="s">
        <v>590</v>
      </c>
      <c r="G5">
        <v>11</v>
      </c>
    </row>
    <row r="6" spans="1:7" x14ac:dyDescent="0.25">
      <c r="A6" s="3" t="s">
        <v>804</v>
      </c>
      <c r="B6" s="2">
        <v>1</v>
      </c>
      <c r="C6" s="15">
        <f t="shared" ref="C6:C28" si="0">B6/$B$28</f>
        <v>4.5454545454545452E-3</v>
      </c>
      <c r="F6" s="3" t="s">
        <v>376</v>
      </c>
      <c r="G6">
        <v>11</v>
      </c>
    </row>
    <row r="7" spans="1:7" x14ac:dyDescent="0.25">
      <c r="A7" s="3" t="s">
        <v>937</v>
      </c>
      <c r="B7" s="2">
        <v>11</v>
      </c>
      <c r="C7" s="15">
        <f t="shared" si="0"/>
        <v>0.05</v>
      </c>
    </row>
    <row r="8" spans="1:7" x14ac:dyDescent="0.25">
      <c r="A8" s="3" t="s">
        <v>729</v>
      </c>
      <c r="B8" s="2">
        <v>4</v>
      </c>
      <c r="C8" s="15">
        <f t="shared" si="0"/>
        <v>1.8181818181818181E-2</v>
      </c>
    </row>
    <row r="9" spans="1:7" x14ac:dyDescent="0.25">
      <c r="A9" s="3" t="s">
        <v>681</v>
      </c>
      <c r="B9" s="2">
        <v>6</v>
      </c>
      <c r="C9" s="15">
        <f t="shared" si="0"/>
        <v>2.7272727272727271E-2</v>
      </c>
    </row>
    <row r="10" spans="1:7" x14ac:dyDescent="0.25">
      <c r="A10" s="3" t="s">
        <v>607</v>
      </c>
      <c r="B10" s="2">
        <v>3</v>
      </c>
      <c r="C10" s="15">
        <f t="shared" si="0"/>
        <v>1.3636363636363636E-2</v>
      </c>
    </row>
    <row r="11" spans="1:7" x14ac:dyDescent="0.25">
      <c r="A11" s="3" t="s">
        <v>845</v>
      </c>
      <c r="B11" s="2">
        <v>7</v>
      </c>
      <c r="C11" s="15">
        <f t="shared" si="0"/>
        <v>3.1818181818181815E-2</v>
      </c>
    </row>
    <row r="12" spans="1:7" x14ac:dyDescent="0.25">
      <c r="A12" s="3" t="s">
        <v>638</v>
      </c>
      <c r="B12" s="2">
        <v>11</v>
      </c>
      <c r="C12" s="15">
        <f t="shared" si="0"/>
        <v>0.05</v>
      </c>
    </row>
    <row r="13" spans="1:7" x14ac:dyDescent="0.25">
      <c r="A13" s="3" t="s">
        <v>668</v>
      </c>
      <c r="B13" s="2">
        <v>1</v>
      </c>
      <c r="C13" s="15">
        <f t="shared" si="0"/>
        <v>4.5454545454545452E-3</v>
      </c>
    </row>
    <row r="14" spans="1:7" x14ac:dyDescent="0.25">
      <c r="A14" s="3" t="s">
        <v>709</v>
      </c>
      <c r="B14" s="2">
        <v>1</v>
      </c>
      <c r="C14" s="15">
        <f t="shared" si="0"/>
        <v>4.5454545454545452E-3</v>
      </c>
    </row>
    <row r="15" spans="1:7" x14ac:dyDescent="0.25">
      <c r="A15" s="3" t="s">
        <v>598</v>
      </c>
      <c r="B15" s="2">
        <v>4</v>
      </c>
      <c r="C15" s="15">
        <f t="shared" si="0"/>
        <v>1.8181818181818181E-2</v>
      </c>
    </row>
    <row r="16" spans="1:7" x14ac:dyDescent="0.25">
      <c r="A16" s="3" t="s">
        <v>629</v>
      </c>
      <c r="B16" s="2">
        <v>6</v>
      </c>
      <c r="C16" s="15">
        <f t="shared" si="0"/>
        <v>2.7272727272727271E-2</v>
      </c>
    </row>
    <row r="17" spans="1:3" x14ac:dyDescent="0.25">
      <c r="A17" s="3" t="s">
        <v>684</v>
      </c>
      <c r="B17" s="2">
        <v>3</v>
      </c>
      <c r="C17" s="15">
        <f t="shared" si="0"/>
        <v>1.3636363636363636E-2</v>
      </c>
    </row>
    <row r="18" spans="1:3" x14ac:dyDescent="0.25">
      <c r="A18" s="3" t="s">
        <v>1057</v>
      </c>
      <c r="B18" s="2">
        <v>1</v>
      </c>
      <c r="C18" s="15">
        <f t="shared" si="0"/>
        <v>4.5454545454545452E-3</v>
      </c>
    </row>
    <row r="19" spans="1:3" x14ac:dyDescent="0.25">
      <c r="A19" s="3" t="s">
        <v>594</v>
      </c>
      <c r="B19" s="2">
        <v>14</v>
      </c>
      <c r="C19" s="15">
        <f t="shared" si="0"/>
        <v>6.363636363636363E-2</v>
      </c>
    </row>
    <row r="20" spans="1:3" x14ac:dyDescent="0.25">
      <c r="A20" s="3" t="s">
        <v>603</v>
      </c>
      <c r="B20" s="2">
        <v>14</v>
      </c>
      <c r="C20" s="15">
        <f t="shared" si="0"/>
        <v>6.363636363636363E-2</v>
      </c>
    </row>
    <row r="21" spans="1:3" x14ac:dyDescent="0.25">
      <c r="A21" s="3" t="s">
        <v>828</v>
      </c>
      <c r="B21" s="2">
        <v>2</v>
      </c>
      <c r="C21" s="15">
        <f t="shared" si="0"/>
        <v>9.0909090909090905E-3</v>
      </c>
    </row>
    <row r="22" spans="1:3" x14ac:dyDescent="0.25">
      <c r="A22" s="3" t="s">
        <v>590</v>
      </c>
      <c r="B22" s="2">
        <v>65</v>
      </c>
      <c r="C22" s="15">
        <f t="shared" si="0"/>
        <v>0.29545454545454547</v>
      </c>
    </row>
    <row r="23" spans="1:3" x14ac:dyDescent="0.25">
      <c r="A23" s="3" t="s">
        <v>613</v>
      </c>
      <c r="B23" s="2">
        <v>11</v>
      </c>
      <c r="C23" s="15">
        <f t="shared" si="0"/>
        <v>0.05</v>
      </c>
    </row>
    <row r="24" spans="1:3" x14ac:dyDescent="0.25">
      <c r="A24" s="3" t="s">
        <v>1152</v>
      </c>
      <c r="B24" s="2">
        <v>1</v>
      </c>
      <c r="C24" s="15">
        <f t="shared" si="0"/>
        <v>4.5454545454545452E-3</v>
      </c>
    </row>
    <row r="25" spans="1:3" x14ac:dyDescent="0.25">
      <c r="A25" s="3" t="s">
        <v>616</v>
      </c>
      <c r="B25" s="2">
        <v>45</v>
      </c>
      <c r="C25" s="15">
        <f t="shared" si="0"/>
        <v>0.20454545454545456</v>
      </c>
    </row>
    <row r="26" spans="1:3" x14ac:dyDescent="0.25">
      <c r="A26" s="3" t="s">
        <v>850</v>
      </c>
      <c r="B26" s="2">
        <v>1</v>
      </c>
      <c r="C26" s="15">
        <f t="shared" si="0"/>
        <v>4.5454545454545452E-3</v>
      </c>
    </row>
    <row r="27" spans="1:3" x14ac:dyDescent="0.25">
      <c r="A27" s="3" t="s">
        <v>1140</v>
      </c>
      <c r="B27" s="2">
        <v>7</v>
      </c>
      <c r="C27" s="15">
        <f t="shared" si="0"/>
        <v>3.1818181818181815E-2</v>
      </c>
    </row>
    <row r="28" spans="1:3" x14ac:dyDescent="0.25">
      <c r="A28" s="3" t="s">
        <v>376</v>
      </c>
      <c r="B28" s="2">
        <v>220</v>
      </c>
      <c r="C28" s="15">
        <f t="shared" si="0"/>
        <v>1</v>
      </c>
    </row>
    <row r="29" spans="1:3" x14ac:dyDescent="0.25">
      <c r="C29" s="15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8"/>
  <dimension ref="A1:I273"/>
  <sheetViews>
    <sheetView workbookViewId="0">
      <selection activeCell="F14" sqref="F14"/>
    </sheetView>
  </sheetViews>
  <sheetFormatPr defaultColWidth="9.140625" defaultRowHeight="12" x14ac:dyDescent="0.2"/>
  <cols>
    <col min="1" max="1" width="43.42578125" style="17" bestFit="1" customWidth="1"/>
    <col min="2" max="2" width="14.28515625" style="17" bestFit="1" customWidth="1"/>
    <col min="3" max="3" width="10.7109375" style="17" bestFit="1" customWidth="1"/>
    <col min="4" max="4" width="11.85546875" style="17" customWidth="1"/>
    <col min="5" max="5" width="40.42578125" style="17" bestFit="1" customWidth="1"/>
    <col min="6" max="16384" width="9.140625" style="17"/>
  </cols>
  <sheetData>
    <row r="1" spans="1:9" x14ac:dyDescent="0.2">
      <c r="A1" s="16" t="s">
        <v>360</v>
      </c>
      <c r="B1" s="17" t="s">
        <v>3</v>
      </c>
      <c r="E1" s="20" t="s">
        <v>46</v>
      </c>
      <c r="I1" s="17" t="s">
        <v>1400</v>
      </c>
    </row>
    <row r="2" spans="1:9" ht="15" x14ac:dyDescent="0.25">
      <c r="A2"/>
      <c r="B2"/>
      <c r="E2" s="20" t="s">
        <v>44</v>
      </c>
    </row>
    <row r="3" spans="1:9" x14ac:dyDescent="0.2">
      <c r="A3" s="16" t="s">
        <v>394</v>
      </c>
      <c r="B3" s="17" t="s">
        <v>1106</v>
      </c>
      <c r="E3" s="20" t="s">
        <v>210</v>
      </c>
    </row>
    <row r="4" spans="1:9" x14ac:dyDescent="0.2">
      <c r="A4" s="18" t="s">
        <v>10</v>
      </c>
      <c r="B4" s="17">
        <v>76</v>
      </c>
      <c r="E4" s="20" t="s">
        <v>42</v>
      </c>
    </row>
    <row r="5" spans="1:9" x14ac:dyDescent="0.2">
      <c r="A5" s="19" t="s">
        <v>368</v>
      </c>
      <c r="B5" s="17">
        <v>11</v>
      </c>
      <c r="E5" s="20" t="s">
        <v>14</v>
      </c>
    </row>
    <row r="6" spans="1:9" x14ac:dyDescent="0.2">
      <c r="A6" s="20" t="s">
        <v>222</v>
      </c>
      <c r="B6" s="17">
        <v>1</v>
      </c>
      <c r="E6" s="20" t="s">
        <v>19</v>
      </c>
    </row>
    <row r="7" spans="1:9" x14ac:dyDescent="0.2">
      <c r="A7" s="20" t="s">
        <v>82</v>
      </c>
      <c r="B7" s="17">
        <v>1</v>
      </c>
      <c r="E7" s="20" t="s">
        <v>4</v>
      </c>
    </row>
    <row r="8" spans="1:9" x14ac:dyDescent="0.2">
      <c r="A8" s="20" t="s">
        <v>219</v>
      </c>
      <c r="B8" s="17">
        <v>1</v>
      </c>
      <c r="E8" s="20" t="s">
        <v>351</v>
      </c>
    </row>
    <row r="9" spans="1:9" x14ac:dyDescent="0.2">
      <c r="A9" s="20" t="s">
        <v>83</v>
      </c>
      <c r="B9" s="17">
        <v>1</v>
      </c>
      <c r="E9" s="20" t="s">
        <v>568</v>
      </c>
    </row>
    <row r="10" spans="1:9" x14ac:dyDescent="0.2">
      <c r="A10" s="20" t="s">
        <v>322</v>
      </c>
      <c r="B10" s="17">
        <v>1</v>
      </c>
      <c r="E10" s="20" t="s">
        <v>134</v>
      </c>
    </row>
    <row r="11" spans="1:9" x14ac:dyDescent="0.2">
      <c r="A11" s="20" t="s">
        <v>218</v>
      </c>
      <c r="B11" s="17">
        <v>1</v>
      </c>
      <c r="E11" s="20" t="s">
        <v>55</v>
      </c>
    </row>
    <row r="12" spans="1:9" x14ac:dyDescent="0.2">
      <c r="A12" s="20" t="s">
        <v>87</v>
      </c>
      <c r="B12" s="17">
        <v>1</v>
      </c>
      <c r="E12" s="20" t="s">
        <v>21</v>
      </c>
    </row>
    <row r="13" spans="1:9" x14ac:dyDescent="0.2">
      <c r="A13" s="20" t="s">
        <v>86</v>
      </c>
      <c r="B13" s="17">
        <v>1</v>
      </c>
      <c r="E13" s="20"/>
    </row>
    <row r="14" spans="1:9" x14ac:dyDescent="0.2">
      <c r="A14" s="20" t="s">
        <v>88</v>
      </c>
      <c r="B14" s="17">
        <v>1</v>
      </c>
    </row>
    <row r="15" spans="1:9" ht="15" x14ac:dyDescent="0.25">
      <c r="A15" s="20" t="s">
        <v>220</v>
      </c>
      <c r="B15" s="17">
        <v>1</v>
      </c>
      <c r="D15" s="21"/>
    </row>
    <row r="16" spans="1:9" ht="15" x14ac:dyDescent="0.25">
      <c r="A16" s="20" t="s">
        <v>1432</v>
      </c>
      <c r="B16" s="17">
        <v>1</v>
      </c>
      <c r="D16" s="21"/>
    </row>
    <row r="17" spans="1:5" ht="15" x14ac:dyDescent="0.25">
      <c r="A17" s="19" t="s">
        <v>366</v>
      </c>
      <c r="B17" s="17">
        <v>11</v>
      </c>
      <c r="D17" s="21"/>
    </row>
    <row r="18" spans="1:5" ht="15" x14ac:dyDescent="0.25">
      <c r="A18" s="20" t="s">
        <v>16</v>
      </c>
      <c r="B18" s="17">
        <v>1</v>
      </c>
      <c r="D18" s="21"/>
      <c r="E18" s="20" t="s">
        <v>133</v>
      </c>
    </row>
    <row r="19" spans="1:5" x14ac:dyDescent="0.2">
      <c r="A19" s="20" t="s">
        <v>199</v>
      </c>
      <c r="B19" s="17">
        <v>1</v>
      </c>
      <c r="E19" s="20" t="s">
        <v>144</v>
      </c>
    </row>
    <row r="20" spans="1:5" x14ac:dyDescent="0.2">
      <c r="A20" s="20" t="s">
        <v>188</v>
      </c>
      <c r="B20" s="17">
        <v>1</v>
      </c>
      <c r="E20" s="20" t="s">
        <v>196</v>
      </c>
    </row>
    <row r="21" spans="1:5" x14ac:dyDescent="0.2">
      <c r="A21" s="20" t="s">
        <v>201</v>
      </c>
      <c r="B21" s="17">
        <v>1</v>
      </c>
      <c r="E21" s="20" t="s">
        <v>152</v>
      </c>
    </row>
    <row r="22" spans="1:5" x14ac:dyDescent="0.2">
      <c r="A22" s="20" t="s">
        <v>206</v>
      </c>
      <c r="B22" s="17">
        <v>1</v>
      </c>
      <c r="E22" s="20" t="s">
        <v>146</v>
      </c>
    </row>
    <row r="23" spans="1:5" x14ac:dyDescent="0.2">
      <c r="A23" s="20" t="s">
        <v>57</v>
      </c>
      <c r="B23" s="17">
        <v>1</v>
      </c>
      <c r="E23" s="20" t="s">
        <v>194</v>
      </c>
    </row>
    <row r="24" spans="1:5" x14ac:dyDescent="0.2">
      <c r="A24" s="20" t="s">
        <v>208</v>
      </c>
      <c r="B24" s="17">
        <v>1</v>
      </c>
      <c r="E24" s="20" t="s">
        <v>156</v>
      </c>
    </row>
    <row r="25" spans="1:5" x14ac:dyDescent="0.2">
      <c r="A25" s="20" t="s">
        <v>190</v>
      </c>
      <c r="B25" s="17">
        <v>1</v>
      </c>
      <c r="E25" s="20" t="s">
        <v>136</v>
      </c>
    </row>
    <row r="26" spans="1:5" x14ac:dyDescent="0.2">
      <c r="A26" s="20" t="s">
        <v>1433</v>
      </c>
      <c r="B26" s="17">
        <v>1</v>
      </c>
      <c r="E26" s="20" t="s">
        <v>68</v>
      </c>
    </row>
    <row r="27" spans="1:5" x14ac:dyDescent="0.2">
      <c r="A27" s="20" t="s">
        <v>141</v>
      </c>
      <c r="B27" s="17">
        <v>1</v>
      </c>
    </row>
    <row r="28" spans="1:5" x14ac:dyDescent="0.2">
      <c r="A28" s="20" t="s">
        <v>143</v>
      </c>
      <c r="B28" s="17">
        <v>1</v>
      </c>
    </row>
    <row r="29" spans="1:5" x14ac:dyDescent="0.2">
      <c r="A29" s="19" t="s">
        <v>1163</v>
      </c>
      <c r="B29" s="17">
        <v>10</v>
      </c>
    </row>
    <row r="30" spans="1:5" x14ac:dyDescent="0.2">
      <c r="A30" s="20" t="s">
        <v>133</v>
      </c>
      <c r="B30" s="17">
        <v>1</v>
      </c>
      <c r="E30" s="20" t="s">
        <v>59</v>
      </c>
    </row>
    <row r="31" spans="1:5" x14ac:dyDescent="0.2">
      <c r="A31" s="20" t="s">
        <v>36</v>
      </c>
      <c r="B31" s="17">
        <v>1</v>
      </c>
      <c r="E31" s="20" t="s">
        <v>8</v>
      </c>
    </row>
    <row r="32" spans="1:5" x14ac:dyDescent="0.2">
      <c r="A32" s="20" t="s">
        <v>144</v>
      </c>
      <c r="B32" s="17">
        <v>1</v>
      </c>
      <c r="E32" s="20" t="s">
        <v>61</v>
      </c>
    </row>
    <row r="33" spans="1:5" x14ac:dyDescent="0.2">
      <c r="A33" s="20" t="s">
        <v>196</v>
      </c>
      <c r="B33" s="17">
        <v>1</v>
      </c>
      <c r="E33" s="20" t="s">
        <v>53</v>
      </c>
    </row>
    <row r="34" spans="1:5" x14ac:dyDescent="0.2">
      <c r="A34" s="20" t="s">
        <v>146</v>
      </c>
      <c r="B34" s="17">
        <v>1</v>
      </c>
      <c r="E34" s="20" t="s">
        <v>32</v>
      </c>
    </row>
    <row r="35" spans="1:5" x14ac:dyDescent="0.2">
      <c r="A35" s="20" t="s">
        <v>194</v>
      </c>
      <c r="B35" s="17">
        <v>1</v>
      </c>
      <c r="E35" s="20" t="s">
        <v>49</v>
      </c>
    </row>
    <row r="36" spans="1:5" x14ac:dyDescent="0.2">
      <c r="A36" s="20" t="s">
        <v>156</v>
      </c>
      <c r="B36" s="17">
        <v>1</v>
      </c>
      <c r="E36" s="20" t="s">
        <v>63</v>
      </c>
    </row>
    <row r="37" spans="1:5" x14ac:dyDescent="0.2">
      <c r="A37" s="20" t="s">
        <v>68</v>
      </c>
      <c r="B37" s="17">
        <v>1</v>
      </c>
      <c r="E37" s="20" t="s">
        <v>154</v>
      </c>
    </row>
    <row r="38" spans="1:5" x14ac:dyDescent="0.2">
      <c r="A38" s="20" t="s">
        <v>1444</v>
      </c>
      <c r="B38" s="17">
        <v>1</v>
      </c>
      <c r="E38" s="20" t="s">
        <v>51</v>
      </c>
    </row>
    <row r="39" spans="1:5" x14ac:dyDescent="0.2">
      <c r="A39" s="20" t="s">
        <v>1434</v>
      </c>
      <c r="B39" s="17">
        <v>1</v>
      </c>
      <c r="E39" s="20" t="s">
        <v>24</v>
      </c>
    </row>
    <row r="40" spans="1:5" x14ac:dyDescent="0.2">
      <c r="A40" s="19" t="s">
        <v>391</v>
      </c>
      <c r="B40" s="17">
        <v>13</v>
      </c>
      <c r="E40" s="20" t="s">
        <v>150</v>
      </c>
    </row>
    <row r="41" spans="1:5" x14ac:dyDescent="0.2">
      <c r="A41" s="20" t="s">
        <v>70</v>
      </c>
      <c r="B41" s="17">
        <v>1</v>
      </c>
      <c r="E41" s="20" t="s">
        <v>26</v>
      </c>
    </row>
    <row r="42" spans="1:5" x14ac:dyDescent="0.2">
      <c r="A42" s="20" t="s">
        <v>14</v>
      </c>
      <c r="B42" s="17">
        <v>1</v>
      </c>
      <c r="E42" s="20" t="s">
        <v>28</v>
      </c>
    </row>
    <row r="43" spans="1:5" x14ac:dyDescent="0.2">
      <c r="A43" s="20" t="s">
        <v>22</v>
      </c>
      <c r="B43" s="17">
        <v>1</v>
      </c>
    </row>
    <row r="44" spans="1:5" x14ac:dyDescent="0.2">
      <c r="A44" s="20" t="s">
        <v>80</v>
      </c>
      <c r="B44" s="17">
        <v>1</v>
      </c>
    </row>
    <row r="45" spans="1:5" x14ac:dyDescent="0.2">
      <c r="A45" s="20" t="s">
        <v>202</v>
      </c>
      <c r="B45" s="17">
        <v>1</v>
      </c>
    </row>
    <row r="46" spans="1:5" x14ac:dyDescent="0.2">
      <c r="A46" s="20" t="s">
        <v>349</v>
      </c>
      <c r="B46" s="17">
        <v>1</v>
      </c>
    </row>
    <row r="47" spans="1:5" x14ac:dyDescent="0.2">
      <c r="A47" s="20" t="s">
        <v>38</v>
      </c>
      <c r="B47" s="17">
        <v>1</v>
      </c>
    </row>
    <row r="48" spans="1:5" x14ac:dyDescent="0.2">
      <c r="A48" s="20" t="s">
        <v>40</v>
      </c>
      <c r="B48" s="17">
        <v>1</v>
      </c>
    </row>
    <row r="49" spans="1:2" x14ac:dyDescent="0.2">
      <c r="A49" s="20" t="s">
        <v>11</v>
      </c>
      <c r="B49" s="17">
        <v>1</v>
      </c>
    </row>
    <row r="50" spans="1:2" x14ac:dyDescent="0.2">
      <c r="A50" s="20" t="s">
        <v>30</v>
      </c>
      <c r="B50" s="17">
        <v>1</v>
      </c>
    </row>
    <row r="51" spans="1:2" x14ac:dyDescent="0.2">
      <c r="A51" s="20" t="s">
        <v>78</v>
      </c>
      <c r="B51" s="17">
        <v>1</v>
      </c>
    </row>
    <row r="52" spans="1:2" x14ac:dyDescent="0.2">
      <c r="A52" s="20" t="s">
        <v>76</v>
      </c>
      <c r="B52" s="17">
        <v>1</v>
      </c>
    </row>
    <row r="53" spans="1:2" x14ac:dyDescent="0.2">
      <c r="A53" s="20" t="s">
        <v>197</v>
      </c>
      <c r="B53" s="17">
        <v>1</v>
      </c>
    </row>
    <row r="54" spans="1:2" x14ac:dyDescent="0.2">
      <c r="A54" s="19" t="s">
        <v>7</v>
      </c>
      <c r="B54" s="17">
        <v>12</v>
      </c>
    </row>
    <row r="55" spans="1:2" x14ac:dyDescent="0.2">
      <c r="A55" s="20" t="s">
        <v>46</v>
      </c>
      <c r="B55" s="17">
        <v>1</v>
      </c>
    </row>
    <row r="56" spans="1:2" x14ac:dyDescent="0.2">
      <c r="A56" s="20" t="s">
        <v>44</v>
      </c>
      <c r="B56" s="17">
        <v>1</v>
      </c>
    </row>
    <row r="57" spans="1:2" x14ac:dyDescent="0.2">
      <c r="A57" s="20" t="s">
        <v>210</v>
      </c>
      <c r="B57" s="17">
        <v>1</v>
      </c>
    </row>
    <row r="58" spans="1:2" x14ac:dyDescent="0.2">
      <c r="A58" s="20" t="s">
        <v>42</v>
      </c>
      <c r="B58" s="17">
        <v>1</v>
      </c>
    </row>
    <row r="59" spans="1:2" x14ac:dyDescent="0.2">
      <c r="A59" s="20" t="s">
        <v>19</v>
      </c>
      <c r="B59" s="17">
        <v>1</v>
      </c>
    </row>
    <row r="60" spans="1:2" x14ac:dyDescent="0.2">
      <c r="A60" s="20" t="s">
        <v>4</v>
      </c>
      <c r="B60" s="17">
        <v>1</v>
      </c>
    </row>
    <row r="61" spans="1:2" x14ac:dyDescent="0.2">
      <c r="A61" s="20" t="s">
        <v>351</v>
      </c>
      <c r="B61" s="17">
        <v>1</v>
      </c>
    </row>
    <row r="62" spans="1:2" x14ac:dyDescent="0.2">
      <c r="A62" s="20" t="s">
        <v>568</v>
      </c>
      <c r="B62" s="17">
        <v>1</v>
      </c>
    </row>
    <row r="63" spans="1:2" x14ac:dyDescent="0.2">
      <c r="A63" s="20" t="s">
        <v>353</v>
      </c>
      <c r="B63" s="17">
        <v>1</v>
      </c>
    </row>
    <row r="64" spans="1:2" x14ac:dyDescent="0.2">
      <c r="A64" s="20" t="s">
        <v>134</v>
      </c>
      <c r="B64" s="17">
        <v>1</v>
      </c>
    </row>
    <row r="65" spans="1:2" x14ac:dyDescent="0.2">
      <c r="A65" s="20" t="s">
        <v>55</v>
      </c>
      <c r="B65" s="17">
        <v>1</v>
      </c>
    </row>
    <row r="66" spans="1:2" x14ac:dyDescent="0.2">
      <c r="A66" s="20" t="s">
        <v>21</v>
      </c>
      <c r="B66" s="17">
        <v>1</v>
      </c>
    </row>
    <row r="67" spans="1:2" x14ac:dyDescent="0.2">
      <c r="A67" s="19" t="s">
        <v>395</v>
      </c>
      <c r="B67" s="17">
        <v>13</v>
      </c>
    </row>
    <row r="68" spans="1:2" x14ac:dyDescent="0.2">
      <c r="A68" s="20" t="s">
        <v>59</v>
      </c>
      <c r="B68" s="17">
        <v>1</v>
      </c>
    </row>
    <row r="69" spans="1:2" x14ac:dyDescent="0.2">
      <c r="A69" s="20" t="s">
        <v>8</v>
      </c>
      <c r="B69" s="17">
        <v>1</v>
      </c>
    </row>
    <row r="70" spans="1:2" x14ac:dyDescent="0.2">
      <c r="A70" s="20" t="s">
        <v>61</v>
      </c>
      <c r="B70" s="17">
        <v>1</v>
      </c>
    </row>
    <row r="71" spans="1:2" x14ac:dyDescent="0.2">
      <c r="A71" s="20" t="s">
        <v>53</v>
      </c>
      <c r="B71" s="17">
        <v>1</v>
      </c>
    </row>
    <row r="72" spans="1:2" x14ac:dyDescent="0.2">
      <c r="A72" s="20" t="s">
        <v>32</v>
      </c>
      <c r="B72" s="17">
        <v>1</v>
      </c>
    </row>
    <row r="73" spans="1:2" x14ac:dyDescent="0.2">
      <c r="A73" s="20" t="s">
        <v>49</v>
      </c>
      <c r="B73" s="17">
        <v>1</v>
      </c>
    </row>
    <row r="74" spans="1:2" x14ac:dyDescent="0.2">
      <c r="A74" s="20" t="s">
        <v>63</v>
      </c>
      <c r="B74" s="17">
        <v>1</v>
      </c>
    </row>
    <row r="75" spans="1:2" x14ac:dyDescent="0.2">
      <c r="A75" s="20" t="s">
        <v>51</v>
      </c>
      <c r="B75" s="17">
        <v>1</v>
      </c>
    </row>
    <row r="76" spans="1:2" x14ac:dyDescent="0.2">
      <c r="A76" s="20" t="s">
        <v>24</v>
      </c>
      <c r="B76" s="17">
        <v>1</v>
      </c>
    </row>
    <row r="77" spans="1:2" x14ac:dyDescent="0.2">
      <c r="A77" s="20" t="s">
        <v>150</v>
      </c>
      <c r="B77" s="17">
        <v>1</v>
      </c>
    </row>
    <row r="78" spans="1:2" x14ac:dyDescent="0.2">
      <c r="A78" s="20" t="s">
        <v>26</v>
      </c>
      <c r="B78" s="17">
        <v>1</v>
      </c>
    </row>
    <row r="79" spans="1:2" x14ac:dyDescent="0.2">
      <c r="A79" s="20" t="s">
        <v>28</v>
      </c>
      <c r="B79" s="17">
        <v>1</v>
      </c>
    </row>
    <row r="80" spans="1:2" x14ac:dyDescent="0.2">
      <c r="A80" s="20" t="s">
        <v>1438</v>
      </c>
      <c r="B80" s="17">
        <v>1</v>
      </c>
    </row>
    <row r="81" spans="1:5" x14ac:dyDescent="0.2">
      <c r="A81" s="19" t="s">
        <v>67</v>
      </c>
      <c r="B81" s="17">
        <v>6</v>
      </c>
      <c r="E81" s="20"/>
    </row>
    <row r="82" spans="1:5" x14ac:dyDescent="0.2">
      <c r="A82" s="20" t="s">
        <v>48</v>
      </c>
      <c r="B82" s="17">
        <v>1</v>
      </c>
      <c r="E82" s="20"/>
    </row>
    <row r="83" spans="1:5" x14ac:dyDescent="0.2">
      <c r="A83" s="20" t="s">
        <v>192</v>
      </c>
      <c r="B83" s="17">
        <v>1</v>
      </c>
      <c r="E83" s="20"/>
    </row>
    <row r="84" spans="1:5" x14ac:dyDescent="0.2">
      <c r="A84" s="20" t="s">
        <v>65</v>
      </c>
      <c r="B84" s="17">
        <v>1</v>
      </c>
      <c r="E84" s="20"/>
    </row>
    <row r="85" spans="1:5" x14ac:dyDescent="0.2">
      <c r="A85" s="20" t="s">
        <v>131</v>
      </c>
      <c r="B85" s="17">
        <v>1</v>
      </c>
      <c r="E85" s="20"/>
    </row>
    <row r="86" spans="1:5" x14ac:dyDescent="0.2">
      <c r="A86" s="20" t="s">
        <v>72</v>
      </c>
      <c r="B86" s="17">
        <v>1</v>
      </c>
      <c r="E86" s="20"/>
    </row>
    <row r="87" spans="1:5" x14ac:dyDescent="0.2">
      <c r="A87" s="20" t="s">
        <v>34</v>
      </c>
      <c r="B87" s="17">
        <v>1</v>
      </c>
      <c r="E87" s="20"/>
    </row>
    <row r="88" spans="1:5" x14ac:dyDescent="0.2">
      <c r="A88" s="18" t="s">
        <v>6</v>
      </c>
      <c r="B88" s="17">
        <v>37</v>
      </c>
      <c r="E88" s="20"/>
    </row>
    <row r="89" spans="1:5" x14ac:dyDescent="0.2">
      <c r="A89" s="19" t="s">
        <v>101</v>
      </c>
      <c r="B89" s="17">
        <v>6</v>
      </c>
      <c r="E89" s="20"/>
    </row>
    <row r="90" spans="1:5" x14ac:dyDescent="0.2">
      <c r="A90" s="20" t="s">
        <v>343</v>
      </c>
      <c r="B90" s="17">
        <v>1</v>
      </c>
      <c r="E90" s="20"/>
    </row>
    <row r="91" spans="1:5" x14ac:dyDescent="0.2">
      <c r="A91" s="20" t="s">
        <v>342</v>
      </c>
      <c r="B91" s="17">
        <v>1</v>
      </c>
    </row>
    <row r="92" spans="1:5" x14ac:dyDescent="0.2">
      <c r="A92" s="20" t="s">
        <v>104</v>
      </c>
      <c r="B92" s="17">
        <v>1</v>
      </c>
    </row>
    <row r="93" spans="1:5" x14ac:dyDescent="0.2">
      <c r="A93" s="20" t="s">
        <v>344</v>
      </c>
      <c r="B93" s="17">
        <v>1</v>
      </c>
    </row>
    <row r="94" spans="1:5" x14ac:dyDescent="0.2">
      <c r="A94" s="20" t="s">
        <v>267</v>
      </c>
      <c r="B94" s="17">
        <v>1</v>
      </c>
    </row>
    <row r="95" spans="1:5" x14ac:dyDescent="0.2">
      <c r="A95" s="20" t="s">
        <v>259</v>
      </c>
      <c r="B95" s="17">
        <v>1</v>
      </c>
    </row>
    <row r="96" spans="1:5" x14ac:dyDescent="0.2">
      <c r="A96" s="19" t="s">
        <v>1220</v>
      </c>
      <c r="B96" s="17">
        <v>8</v>
      </c>
    </row>
    <row r="97" spans="1:2" x14ac:dyDescent="0.2">
      <c r="A97" s="20" t="s">
        <v>374</v>
      </c>
      <c r="B97" s="17">
        <v>1</v>
      </c>
    </row>
    <row r="98" spans="1:2" x14ac:dyDescent="0.2">
      <c r="A98" s="20" t="s">
        <v>102</v>
      </c>
      <c r="B98" s="17">
        <v>1</v>
      </c>
    </row>
    <row r="99" spans="1:2" x14ac:dyDescent="0.2">
      <c r="A99" s="20" t="s">
        <v>282</v>
      </c>
      <c r="B99" s="17">
        <v>1</v>
      </c>
    </row>
    <row r="100" spans="1:2" x14ac:dyDescent="0.2">
      <c r="A100" s="20" t="s">
        <v>280</v>
      </c>
      <c r="B100" s="17">
        <v>1</v>
      </c>
    </row>
    <row r="101" spans="1:2" x14ac:dyDescent="0.2">
      <c r="A101" s="20" t="s">
        <v>284</v>
      </c>
      <c r="B101" s="17">
        <v>1</v>
      </c>
    </row>
    <row r="102" spans="1:2" x14ac:dyDescent="0.2">
      <c r="A102" s="20" t="s">
        <v>285</v>
      </c>
      <c r="B102" s="17">
        <v>1</v>
      </c>
    </row>
    <row r="103" spans="1:2" x14ac:dyDescent="0.2">
      <c r="A103" s="20" t="s">
        <v>274</v>
      </c>
      <c r="B103" s="17">
        <v>1</v>
      </c>
    </row>
    <row r="104" spans="1:2" x14ac:dyDescent="0.2">
      <c r="A104" s="20" t="s">
        <v>356</v>
      </c>
      <c r="B104" s="17">
        <v>1</v>
      </c>
    </row>
    <row r="105" spans="1:2" x14ac:dyDescent="0.2">
      <c r="A105" s="19" t="s">
        <v>370</v>
      </c>
      <c r="B105" s="17">
        <v>6</v>
      </c>
    </row>
    <row r="106" spans="1:2" x14ac:dyDescent="0.2">
      <c r="A106" s="20" t="s">
        <v>231</v>
      </c>
      <c r="B106" s="17">
        <v>1</v>
      </c>
    </row>
    <row r="107" spans="1:2" x14ac:dyDescent="0.2">
      <c r="A107" s="20" t="s">
        <v>92</v>
      </c>
      <c r="B107" s="17">
        <v>1</v>
      </c>
    </row>
    <row r="108" spans="1:2" x14ac:dyDescent="0.2">
      <c r="A108" s="20" t="s">
        <v>91</v>
      </c>
      <c r="B108" s="17">
        <v>1</v>
      </c>
    </row>
    <row r="109" spans="1:2" x14ac:dyDescent="0.2">
      <c r="A109" s="20" t="s">
        <v>229</v>
      </c>
      <c r="B109" s="17">
        <v>1</v>
      </c>
    </row>
    <row r="110" spans="1:2" x14ac:dyDescent="0.2">
      <c r="A110" s="20" t="s">
        <v>235</v>
      </c>
      <c r="B110" s="17">
        <v>1</v>
      </c>
    </row>
    <row r="111" spans="1:2" x14ac:dyDescent="0.2">
      <c r="A111" s="20" t="s">
        <v>233</v>
      </c>
      <c r="B111" s="17">
        <v>1</v>
      </c>
    </row>
    <row r="112" spans="1:2" x14ac:dyDescent="0.2">
      <c r="A112" s="19" t="s">
        <v>397</v>
      </c>
      <c r="B112" s="17">
        <v>9</v>
      </c>
    </row>
    <row r="113" spans="1:2" x14ac:dyDescent="0.2">
      <c r="A113" s="20" t="s">
        <v>359</v>
      </c>
      <c r="B113" s="17">
        <v>1</v>
      </c>
    </row>
    <row r="114" spans="1:2" x14ac:dyDescent="0.2">
      <c r="A114" s="20" t="s">
        <v>414</v>
      </c>
      <c r="B114" s="17">
        <v>1</v>
      </c>
    </row>
    <row r="115" spans="1:2" x14ac:dyDescent="0.2">
      <c r="A115" s="20" t="s">
        <v>346</v>
      </c>
      <c r="B115" s="17">
        <v>1</v>
      </c>
    </row>
    <row r="116" spans="1:2" x14ac:dyDescent="0.2">
      <c r="A116" s="20" t="s">
        <v>288</v>
      </c>
      <c r="B116" s="17">
        <v>1</v>
      </c>
    </row>
    <row r="117" spans="1:2" x14ac:dyDescent="0.2">
      <c r="A117" s="20" t="s">
        <v>347</v>
      </c>
      <c r="B117" s="17">
        <v>1</v>
      </c>
    </row>
    <row r="118" spans="1:2" x14ac:dyDescent="0.2">
      <c r="A118" s="20" t="s">
        <v>263</v>
      </c>
      <c r="B118" s="17">
        <v>1</v>
      </c>
    </row>
    <row r="119" spans="1:2" x14ac:dyDescent="0.2">
      <c r="A119" s="20" t="s">
        <v>276</v>
      </c>
      <c r="B119" s="17">
        <v>1</v>
      </c>
    </row>
    <row r="120" spans="1:2" x14ac:dyDescent="0.2">
      <c r="A120" s="20" t="s">
        <v>345</v>
      </c>
      <c r="B120" s="17">
        <v>1</v>
      </c>
    </row>
    <row r="121" spans="1:2" x14ac:dyDescent="0.2">
      <c r="A121" s="20" t="s">
        <v>355</v>
      </c>
      <c r="B121" s="17">
        <v>1</v>
      </c>
    </row>
    <row r="122" spans="1:2" x14ac:dyDescent="0.2">
      <c r="A122" s="19" t="s">
        <v>396</v>
      </c>
      <c r="B122" s="17">
        <v>8</v>
      </c>
    </row>
    <row r="123" spans="1:2" x14ac:dyDescent="0.2">
      <c r="A123" s="20" t="s">
        <v>242</v>
      </c>
      <c r="B123" s="17">
        <v>1</v>
      </c>
    </row>
    <row r="124" spans="1:2" x14ac:dyDescent="0.2">
      <c r="A124" s="20" t="s">
        <v>238</v>
      </c>
      <c r="B124" s="17">
        <v>1</v>
      </c>
    </row>
    <row r="125" spans="1:2" x14ac:dyDescent="0.2">
      <c r="A125" s="20" t="s">
        <v>236</v>
      </c>
      <c r="B125" s="17">
        <v>1</v>
      </c>
    </row>
    <row r="126" spans="1:2" x14ac:dyDescent="0.2">
      <c r="A126" s="20" t="s">
        <v>94</v>
      </c>
      <c r="B126" s="17">
        <v>1</v>
      </c>
    </row>
    <row r="127" spans="1:2" x14ac:dyDescent="0.2">
      <c r="A127" s="20" t="s">
        <v>89</v>
      </c>
      <c r="B127" s="17">
        <v>1</v>
      </c>
    </row>
    <row r="128" spans="1:2" x14ac:dyDescent="0.2">
      <c r="A128" s="20" t="s">
        <v>96</v>
      </c>
      <c r="B128" s="17">
        <v>1</v>
      </c>
    </row>
    <row r="129" spans="1:2" x14ac:dyDescent="0.2">
      <c r="A129" s="20" t="s">
        <v>320</v>
      </c>
      <c r="B129" s="17">
        <v>1</v>
      </c>
    </row>
    <row r="130" spans="1:2" x14ac:dyDescent="0.2">
      <c r="A130" s="20" t="s">
        <v>1435</v>
      </c>
      <c r="B130" s="17">
        <v>1</v>
      </c>
    </row>
    <row r="131" spans="1:2" x14ac:dyDescent="0.2">
      <c r="A131" s="18" t="s">
        <v>122</v>
      </c>
      <c r="B131" s="17">
        <v>30</v>
      </c>
    </row>
    <row r="132" spans="1:2" x14ac:dyDescent="0.2">
      <c r="A132" s="19" t="s">
        <v>398</v>
      </c>
      <c r="B132" s="17">
        <v>4</v>
      </c>
    </row>
    <row r="133" spans="1:2" x14ac:dyDescent="0.2">
      <c r="A133" s="20" t="s">
        <v>126</v>
      </c>
      <c r="B133" s="17">
        <v>1</v>
      </c>
    </row>
    <row r="134" spans="1:2" x14ac:dyDescent="0.2">
      <c r="A134" s="20" t="s">
        <v>317</v>
      </c>
      <c r="B134" s="17">
        <v>1</v>
      </c>
    </row>
    <row r="135" spans="1:2" x14ac:dyDescent="0.2">
      <c r="A135" s="20" t="s">
        <v>130</v>
      </c>
      <c r="B135" s="17">
        <v>1</v>
      </c>
    </row>
    <row r="136" spans="1:2" x14ac:dyDescent="0.2">
      <c r="A136" s="20" t="s">
        <v>128</v>
      </c>
      <c r="B136" s="17">
        <v>1</v>
      </c>
    </row>
    <row r="137" spans="1:2" x14ac:dyDescent="0.2">
      <c r="A137" s="19" t="s">
        <v>401</v>
      </c>
      <c r="B137" s="17">
        <v>9</v>
      </c>
    </row>
    <row r="138" spans="1:2" x14ac:dyDescent="0.2">
      <c r="A138" s="20" t="s">
        <v>1111</v>
      </c>
      <c r="B138" s="17">
        <v>1</v>
      </c>
    </row>
    <row r="139" spans="1:2" x14ac:dyDescent="0.2">
      <c r="A139" s="20" t="s">
        <v>110</v>
      </c>
      <c r="B139" s="17">
        <v>1</v>
      </c>
    </row>
    <row r="140" spans="1:2" x14ac:dyDescent="0.2">
      <c r="A140" s="20" t="s">
        <v>371</v>
      </c>
      <c r="B140" s="17">
        <v>1</v>
      </c>
    </row>
    <row r="141" spans="1:2" x14ac:dyDescent="0.2">
      <c r="A141" s="20" t="s">
        <v>113</v>
      </c>
      <c r="B141" s="17">
        <v>1</v>
      </c>
    </row>
    <row r="142" spans="1:2" x14ac:dyDescent="0.2">
      <c r="A142" s="20" t="s">
        <v>1121</v>
      </c>
      <c r="B142" s="17">
        <v>1</v>
      </c>
    </row>
    <row r="143" spans="1:2" x14ac:dyDescent="0.2">
      <c r="A143" s="20" t="s">
        <v>226</v>
      </c>
      <c r="B143" s="17">
        <v>1</v>
      </c>
    </row>
    <row r="144" spans="1:2" x14ac:dyDescent="0.2">
      <c r="A144" s="20" t="s">
        <v>118</v>
      </c>
      <c r="B144" s="17">
        <v>1</v>
      </c>
    </row>
    <row r="145" spans="1:2" x14ac:dyDescent="0.2">
      <c r="A145" s="20" t="s">
        <v>116</v>
      </c>
      <c r="B145" s="17">
        <v>1</v>
      </c>
    </row>
    <row r="146" spans="1:2" x14ac:dyDescent="0.2">
      <c r="A146" s="20" t="s">
        <v>1439</v>
      </c>
      <c r="B146" s="17">
        <v>1</v>
      </c>
    </row>
    <row r="147" spans="1:2" x14ac:dyDescent="0.2">
      <c r="A147" s="19" t="s">
        <v>1145</v>
      </c>
      <c r="B147" s="17">
        <v>11</v>
      </c>
    </row>
    <row r="148" spans="1:2" x14ac:dyDescent="0.2">
      <c r="A148" s="20" t="s">
        <v>314</v>
      </c>
      <c r="B148" s="17">
        <v>1</v>
      </c>
    </row>
    <row r="149" spans="1:2" x14ac:dyDescent="0.2">
      <c r="A149" s="20" t="s">
        <v>184</v>
      </c>
      <c r="B149" s="17">
        <v>1</v>
      </c>
    </row>
    <row r="150" spans="1:2" x14ac:dyDescent="0.2">
      <c r="A150" s="20" t="s">
        <v>180</v>
      </c>
      <c r="B150" s="17">
        <v>1</v>
      </c>
    </row>
    <row r="151" spans="1:2" x14ac:dyDescent="0.2">
      <c r="A151" s="20" t="s">
        <v>316</v>
      </c>
      <c r="B151" s="17">
        <v>1</v>
      </c>
    </row>
    <row r="152" spans="1:2" x14ac:dyDescent="0.2">
      <c r="A152" s="20" t="s">
        <v>182</v>
      </c>
      <c r="B152" s="17">
        <v>1</v>
      </c>
    </row>
    <row r="153" spans="1:2" x14ac:dyDescent="0.2">
      <c r="A153" s="20" t="s">
        <v>1164</v>
      </c>
      <c r="B153" s="17">
        <v>1</v>
      </c>
    </row>
    <row r="154" spans="1:2" x14ac:dyDescent="0.2">
      <c r="A154" s="20" t="s">
        <v>1165</v>
      </c>
      <c r="B154" s="17">
        <v>1</v>
      </c>
    </row>
    <row r="155" spans="1:2" x14ac:dyDescent="0.2">
      <c r="A155" s="20" t="s">
        <v>120</v>
      </c>
      <c r="B155" s="17">
        <v>1</v>
      </c>
    </row>
    <row r="156" spans="1:2" x14ac:dyDescent="0.2">
      <c r="A156" s="20" t="s">
        <v>1162</v>
      </c>
      <c r="B156" s="17">
        <v>1</v>
      </c>
    </row>
    <row r="157" spans="1:2" x14ac:dyDescent="0.2">
      <c r="A157" s="20" t="s">
        <v>1440</v>
      </c>
      <c r="B157" s="17">
        <v>1</v>
      </c>
    </row>
    <row r="158" spans="1:2" x14ac:dyDescent="0.2">
      <c r="A158" s="20" t="s">
        <v>1436</v>
      </c>
      <c r="B158" s="17">
        <v>1</v>
      </c>
    </row>
    <row r="159" spans="1:2" x14ac:dyDescent="0.2">
      <c r="A159" s="19" t="s">
        <v>1291</v>
      </c>
      <c r="B159" s="17">
        <v>6</v>
      </c>
    </row>
    <row r="160" spans="1:2" x14ac:dyDescent="0.2">
      <c r="A160" s="20" t="s">
        <v>1403</v>
      </c>
      <c r="B160" s="17">
        <v>1</v>
      </c>
    </row>
    <row r="161" spans="1:2" x14ac:dyDescent="0.2">
      <c r="A161" s="20" t="s">
        <v>1411</v>
      </c>
      <c r="B161" s="17">
        <v>1</v>
      </c>
    </row>
    <row r="162" spans="1:2" x14ac:dyDescent="0.2">
      <c r="A162" s="20" t="s">
        <v>1415</v>
      </c>
      <c r="B162" s="17">
        <v>1</v>
      </c>
    </row>
    <row r="163" spans="1:2" x14ac:dyDescent="0.2">
      <c r="A163" s="20" t="s">
        <v>1419</v>
      </c>
      <c r="B163" s="17">
        <v>1</v>
      </c>
    </row>
    <row r="164" spans="1:2" x14ac:dyDescent="0.2">
      <c r="A164" s="20" t="s">
        <v>1423</v>
      </c>
      <c r="B164" s="17">
        <v>1</v>
      </c>
    </row>
    <row r="165" spans="1:2" x14ac:dyDescent="0.2">
      <c r="A165" s="20" t="s">
        <v>1427</v>
      </c>
      <c r="B165" s="17">
        <v>1</v>
      </c>
    </row>
    <row r="166" spans="1:2" x14ac:dyDescent="0.2">
      <c r="A166" s="18" t="s">
        <v>165</v>
      </c>
      <c r="B166" s="17">
        <v>24</v>
      </c>
    </row>
    <row r="167" spans="1:2" x14ac:dyDescent="0.2">
      <c r="A167" s="19" t="s">
        <v>1115</v>
      </c>
      <c r="B167" s="17">
        <v>8</v>
      </c>
    </row>
    <row r="168" spans="1:2" x14ac:dyDescent="0.2">
      <c r="A168" s="20" t="s">
        <v>1112</v>
      </c>
      <c r="B168" s="17">
        <v>1</v>
      </c>
    </row>
    <row r="169" spans="1:2" x14ac:dyDescent="0.2">
      <c r="A169" s="20" t="s">
        <v>164</v>
      </c>
      <c r="B169" s="17">
        <v>1</v>
      </c>
    </row>
    <row r="170" spans="1:2" x14ac:dyDescent="0.2">
      <c r="A170" s="20" t="s">
        <v>244</v>
      </c>
      <c r="B170" s="17">
        <v>1</v>
      </c>
    </row>
    <row r="171" spans="1:2" x14ac:dyDescent="0.2">
      <c r="A171" s="20" t="s">
        <v>247</v>
      </c>
      <c r="B171" s="17">
        <v>1</v>
      </c>
    </row>
    <row r="172" spans="1:2" x14ac:dyDescent="0.2">
      <c r="A172" s="20" t="s">
        <v>166</v>
      </c>
      <c r="B172" s="17">
        <v>1</v>
      </c>
    </row>
    <row r="173" spans="1:2" x14ac:dyDescent="0.2">
      <c r="A173" s="20" t="s">
        <v>216</v>
      </c>
      <c r="B173" s="17">
        <v>1</v>
      </c>
    </row>
    <row r="174" spans="1:2" x14ac:dyDescent="0.2">
      <c r="A174" s="20" t="s">
        <v>245</v>
      </c>
      <c r="B174" s="17">
        <v>1</v>
      </c>
    </row>
    <row r="175" spans="1:2" x14ac:dyDescent="0.2">
      <c r="A175" s="20" t="s">
        <v>1407</v>
      </c>
      <c r="B175" s="17">
        <v>1</v>
      </c>
    </row>
    <row r="176" spans="1:2" x14ac:dyDescent="0.2">
      <c r="A176" s="19" t="s">
        <v>399</v>
      </c>
      <c r="B176" s="17">
        <v>10</v>
      </c>
    </row>
    <row r="177" spans="1:2" x14ac:dyDescent="0.2">
      <c r="A177" s="20" t="s">
        <v>252</v>
      </c>
      <c r="B177" s="17">
        <v>1</v>
      </c>
    </row>
    <row r="178" spans="1:2" x14ac:dyDescent="0.2">
      <c r="A178" s="20" t="s">
        <v>98</v>
      </c>
      <c r="B178" s="17">
        <v>1</v>
      </c>
    </row>
    <row r="179" spans="1:2" x14ac:dyDescent="0.2">
      <c r="A179" s="20" t="s">
        <v>330</v>
      </c>
      <c r="B179" s="17">
        <v>1</v>
      </c>
    </row>
    <row r="180" spans="1:2" x14ac:dyDescent="0.2">
      <c r="A180" s="20" t="s">
        <v>249</v>
      </c>
      <c r="B180" s="17">
        <v>1</v>
      </c>
    </row>
    <row r="181" spans="1:2" x14ac:dyDescent="0.2">
      <c r="A181" s="20" t="s">
        <v>328</v>
      </c>
      <c r="B181" s="17">
        <v>1</v>
      </c>
    </row>
    <row r="182" spans="1:2" x14ac:dyDescent="0.2">
      <c r="A182" s="20" t="s">
        <v>324</v>
      </c>
      <c r="B182" s="17">
        <v>1</v>
      </c>
    </row>
    <row r="183" spans="1:2" x14ac:dyDescent="0.2">
      <c r="A183" s="20" t="s">
        <v>319</v>
      </c>
      <c r="B183" s="17">
        <v>1</v>
      </c>
    </row>
    <row r="184" spans="1:2" x14ac:dyDescent="0.2">
      <c r="A184" s="20" t="s">
        <v>326</v>
      </c>
      <c r="B184" s="17">
        <v>1</v>
      </c>
    </row>
    <row r="185" spans="1:2" x14ac:dyDescent="0.2">
      <c r="A185" s="20" t="s">
        <v>1441</v>
      </c>
      <c r="B185" s="17">
        <v>1</v>
      </c>
    </row>
    <row r="186" spans="1:2" x14ac:dyDescent="0.2">
      <c r="A186" s="20" t="s">
        <v>1442</v>
      </c>
      <c r="B186" s="17">
        <v>1</v>
      </c>
    </row>
    <row r="187" spans="1:2" x14ac:dyDescent="0.2">
      <c r="A187" s="19" t="s">
        <v>1154</v>
      </c>
      <c r="B187" s="17">
        <v>6</v>
      </c>
    </row>
    <row r="188" spans="1:2" x14ac:dyDescent="0.2">
      <c r="A188" s="20" t="s">
        <v>162</v>
      </c>
      <c r="B188" s="17">
        <v>1</v>
      </c>
    </row>
    <row r="189" spans="1:2" x14ac:dyDescent="0.2">
      <c r="A189" s="20" t="s">
        <v>186</v>
      </c>
      <c r="B189" s="17">
        <v>1</v>
      </c>
    </row>
    <row r="190" spans="1:2" x14ac:dyDescent="0.2">
      <c r="A190" s="20" t="s">
        <v>170</v>
      </c>
      <c r="B190" s="17">
        <v>1</v>
      </c>
    </row>
    <row r="191" spans="1:2" x14ac:dyDescent="0.2">
      <c r="A191" s="20" t="s">
        <v>228</v>
      </c>
      <c r="B191" s="17">
        <v>1</v>
      </c>
    </row>
    <row r="192" spans="1:2" x14ac:dyDescent="0.2">
      <c r="A192" s="20" t="s">
        <v>172</v>
      </c>
      <c r="B192" s="17">
        <v>1</v>
      </c>
    </row>
    <row r="193" spans="1:2" x14ac:dyDescent="0.2">
      <c r="A193" s="20" t="s">
        <v>1437</v>
      </c>
      <c r="B193" s="17">
        <v>1</v>
      </c>
    </row>
    <row r="194" spans="1:2" x14ac:dyDescent="0.2">
      <c r="A194" s="18" t="s">
        <v>251</v>
      </c>
      <c r="B194" s="17">
        <v>25</v>
      </c>
    </row>
    <row r="195" spans="1:2" x14ac:dyDescent="0.2">
      <c r="A195" s="19" t="s">
        <v>124</v>
      </c>
      <c r="B195" s="17">
        <v>6</v>
      </c>
    </row>
    <row r="196" spans="1:2" x14ac:dyDescent="0.2">
      <c r="A196" s="20" t="s">
        <v>157</v>
      </c>
      <c r="B196" s="17">
        <v>1</v>
      </c>
    </row>
    <row r="197" spans="1:2" x14ac:dyDescent="0.2">
      <c r="A197" s="20" t="s">
        <v>158</v>
      </c>
      <c r="B197" s="17">
        <v>1</v>
      </c>
    </row>
    <row r="198" spans="1:2" x14ac:dyDescent="0.2">
      <c r="A198" s="20" t="s">
        <v>125</v>
      </c>
      <c r="B198" s="17">
        <v>1</v>
      </c>
    </row>
    <row r="199" spans="1:2" x14ac:dyDescent="0.2">
      <c r="A199" s="20" t="s">
        <v>123</v>
      </c>
      <c r="B199" s="17">
        <v>1</v>
      </c>
    </row>
    <row r="200" spans="1:2" x14ac:dyDescent="0.2">
      <c r="A200" s="20" t="s">
        <v>161</v>
      </c>
      <c r="B200" s="17">
        <v>1</v>
      </c>
    </row>
    <row r="201" spans="1:2" x14ac:dyDescent="0.2">
      <c r="A201" s="20" t="s">
        <v>159</v>
      </c>
      <c r="B201" s="17">
        <v>1</v>
      </c>
    </row>
    <row r="202" spans="1:2" x14ac:dyDescent="0.2">
      <c r="A202" s="19" t="s">
        <v>1120</v>
      </c>
      <c r="B202" s="17">
        <v>11</v>
      </c>
    </row>
    <row r="203" spans="1:2" x14ac:dyDescent="0.2">
      <c r="A203" s="20" t="s">
        <v>354</v>
      </c>
      <c r="B203" s="17">
        <v>1</v>
      </c>
    </row>
    <row r="204" spans="1:2" x14ac:dyDescent="0.2">
      <c r="A204" s="20" t="s">
        <v>309</v>
      </c>
      <c r="B204" s="17">
        <v>1</v>
      </c>
    </row>
    <row r="205" spans="1:2" x14ac:dyDescent="0.2">
      <c r="A205" s="20" t="s">
        <v>296</v>
      </c>
      <c r="B205" s="17">
        <v>1</v>
      </c>
    </row>
    <row r="206" spans="1:2" x14ac:dyDescent="0.2">
      <c r="A206" s="20" t="s">
        <v>331</v>
      </c>
      <c r="B206" s="17">
        <v>1</v>
      </c>
    </row>
    <row r="207" spans="1:2" x14ac:dyDescent="0.2">
      <c r="A207" s="20" t="s">
        <v>336</v>
      </c>
      <c r="B207" s="17">
        <v>1</v>
      </c>
    </row>
    <row r="208" spans="1:2" x14ac:dyDescent="0.2">
      <c r="A208" s="20" t="s">
        <v>332</v>
      </c>
      <c r="B208" s="17">
        <v>1</v>
      </c>
    </row>
    <row r="209" spans="1:2" x14ac:dyDescent="0.2">
      <c r="A209" s="20" t="s">
        <v>297</v>
      </c>
      <c r="B209" s="17">
        <v>1</v>
      </c>
    </row>
    <row r="210" spans="1:2" x14ac:dyDescent="0.2">
      <c r="A210" s="20" t="s">
        <v>269</v>
      </c>
      <c r="B210" s="17">
        <v>1</v>
      </c>
    </row>
    <row r="211" spans="1:2" x14ac:dyDescent="0.2">
      <c r="A211" s="20" t="s">
        <v>338</v>
      </c>
      <c r="B211" s="17">
        <v>1</v>
      </c>
    </row>
    <row r="212" spans="1:2" x14ac:dyDescent="0.2">
      <c r="A212" s="20" t="s">
        <v>290</v>
      </c>
      <c r="B212" s="17">
        <v>1</v>
      </c>
    </row>
    <row r="213" spans="1:2" x14ac:dyDescent="0.2">
      <c r="A213" s="20" t="s">
        <v>295</v>
      </c>
      <c r="B213" s="17">
        <v>1</v>
      </c>
    </row>
    <row r="214" spans="1:2" x14ac:dyDescent="0.2">
      <c r="A214" s="19" t="s">
        <v>400</v>
      </c>
      <c r="B214" s="17">
        <v>8</v>
      </c>
    </row>
    <row r="215" spans="1:2" x14ac:dyDescent="0.2">
      <c r="A215" s="20" t="s">
        <v>292</v>
      </c>
      <c r="B215" s="17">
        <v>1</v>
      </c>
    </row>
    <row r="216" spans="1:2" x14ac:dyDescent="0.2">
      <c r="A216" s="20" t="s">
        <v>310</v>
      </c>
      <c r="B216" s="17">
        <v>1</v>
      </c>
    </row>
    <row r="217" spans="1:2" x14ac:dyDescent="0.2">
      <c r="A217" s="20" t="s">
        <v>304</v>
      </c>
      <c r="B217" s="17">
        <v>1</v>
      </c>
    </row>
    <row r="218" spans="1:2" x14ac:dyDescent="0.2">
      <c r="A218" s="20" t="s">
        <v>300</v>
      </c>
      <c r="B218" s="17">
        <v>1</v>
      </c>
    </row>
    <row r="219" spans="1:2" x14ac:dyDescent="0.2">
      <c r="A219" s="20" t="s">
        <v>302</v>
      </c>
      <c r="B219" s="17">
        <v>1</v>
      </c>
    </row>
    <row r="220" spans="1:2" x14ac:dyDescent="0.2">
      <c r="A220" s="20" t="s">
        <v>298</v>
      </c>
      <c r="B220" s="17">
        <v>1</v>
      </c>
    </row>
    <row r="221" spans="1:2" x14ac:dyDescent="0.2">
      <c r="A221" s="20" t="s">
        <v>307</v>
      </c>
      <c r="B221" s="17">
        <v>1</v>
      </c>
    </row>
    <row r="222" spans="1:2" x14ac:dyDescent="0.2">
      <c r="A222" s="20" t="s">
        <v>1443</v>
      </c>
      <c r="B222" s="17">
        <v>1</v>
      </c>
    </row>
    <row r="223" spans="1:2" x14ac:dyDescent="0.2">
      <c r="A223" s="18" t="s">
        <v>376</v>
      </c>
      <c r="B223" s="17">
        <v>192</v>
      </c>
    </row>
    <row r="224" spans="1:2" ht="15" x14ac:dyDescent="0.25">
      <c r="A224"/>
      <c r="B224"/>
    </row>
    <row r="225" spans="1:2" ht="15" x14ac:dyDescent="0.25">
      <c r="A225"/>
      <c r="B225"/>
    </row>
    <row r="226" spans="1:2" ht="15" x14ac:dyDescent="0.25">
      <c r="A226"/>
      <c r="B226"/>
    </row>
    <row r="227" spans="1:2" ht="15" x14ac:dyDescent="0.25">
      <c r="A227"/>
      <c r="B227"/>
    </row>
    <row r="228" spans="1:2" ht="15" x14ac:dyDescent="0.25">
      <c r="A228"/>
      <c r="B228"/>
    </row>
    <row r="229" spans="1:2" ht="15" x14ac:dyDescent="0.25">
      <c r="A229"/>
      <c r="B229"/>
    </row>
    <row r="230" spans="1:2" ht="15" x14ac:dyDescent="0.25">
      <c r="A230"/>
      <c r="B230"/>
    </row>
    <row r="231" spans="1:2" ht="15" x14ac:dyDescent="0.25">
      <c r="A231"/>
      <c r="B231"/>
    </row>
    <row r="232" spans="1:2" ht="15" x14ac:dyDescent="0.25">
      <c r="A232"/>
      <c r="B232"/>
    </row>
    <row r="233" spans="1:2" ht="15" x14ac:dyDescent="0.25">
      <c r="A233"/>
      <c r="B233"/>
    </row>
    <row r="234" spans="1:2" ht="15" x14ac:dyDescent="0.25">
      <c r="A234"/>
      <c r="B234"/>
    </row>
    <row r="235" spans="1:2" ht="15" x14ac:dyDescent="0.25">
      <c r="A235"/>
      <c r="B235"/>
    </row>
    <row r="236" spans="1:2" ht="15" x14ac:dyDescent="0.25">
      <c r="A236"/>
      <c r="B236"/>
    </row>
    <row r="237" spans="1:2" ht="15" x14ac:dyDescent="0.25">
      <c r="A237"/>
      <c r="B237"/>
    </row>
    <row r="238" spans="1:2" ht="15" x14ac:dyDescent="0.25">
      <c r="A238"/>
      <c r="B238"/>
    </row>
    <row r="239" spans="1:2" ht="15" x14ac:dyDescent="0.25">
      <c r="A239"/>
      <c r="B239"/>
    </row>
    <row r="240" spans="1:2" ht="15" x14ac:dyDescent="0.25">
      <c r="A240"/>
      <c r="B240"/>
    </row>
    <row r="241" spans="1:2" ht="15" x14ac:dyDescent="0.25">
      <c r="A241"/>
      <c r="B241"/>
    </row>
    <row r="242" spans="1:2" ht="15" x14ac:dyDescent="0.25">
      <c r="A242"/>
      <c r="B242"/>
    </row>
    <row r="243" spans="1:2" ht="15" x14ac:dyDescent="0.25">
      <c r="A243"/>
      <c r="B243"/>
    </row>
    <row r="244" spans="1:2" ht="15" x14ac:dyDescent="0.25">
      <c r="A244"/>
      <c r="B244"/>
    </row>
    <row r="245" spans="1:2" ht="15" x14ac:dyDescent="0.25">
      <c r="A245"/>
      <c r="B245"/>
    </row>
    <row r="246" spans="1:2" ht="15" x14ac:dyDescent="0.25">
      <c r="A246"/>
      <c r="B246"/>
    </row>
    <row r="247" spans="1:2" ht="15" x14ac:dyDescent="0.25">
      <c r="A247"/>
      <c r="B247"/>
    </row>
    <row r="248" spans="1:2" ht="15" x14ac:dyDescent="0.25">
      <c r="A248"/>
      <c r="B248"/>
    </row>
    <row r="249" spans="1:2" ht="15" x14ac:dyDescent="0.25">
      <c r="A249"/>
      <c r="B249"/>
    </row>
    <row r="250" spans="1:2" ht="15" x14ac:dyDescent="0.25">
      <c r="A250"/>
      <c r="B250"/>
    </row>
    <row r="251" spans="1:2" ht="15" x14ac:dyDescent="0.25">
      <c r="A251"/>
      <c r="B251"/>
    </row>
    <row r="252" spans="1:2" ht="15" x14ac:dyDescent="0.25">
      <c r="A252"/>
      <c r="B252"/>
    </row>
    <row r="253" spans="1:2" ht="15" x14ac:dyDescent="0.25">
      <c r="A253"/>
      <c r="B253"/>
    </row>
    <row r="254" spans="1:2" ht="15" x14ac:dyDescent="0.25">
      <c r="A254"/>
      <c r="B254"/>
    </row>
    <row r="255" spans="1:2" ht="15" x14ac:dyDescent="0.25">
      <c r="A255"/>
      <c r="B255"/>
    </row>
    <row r="256" spans="1:2" ht="15" x14ac:dyDescent="0.25">
      <c r="A256"/>
      <c r="B256"/>
    </row>
    <row r="257" spans="1:2" ht="15" x14ac:dyDescent="0.25">
      <c r="A257"/>
      <c r="B257"/>
    </row>
    <row r="258" spans="1:2" ht="15" x14ac:dyDescent="0.25">
      <c r="A258"/>
      <c r="B258"/>
    </row>
    <row r="259" spans="1:2" ht="15" x14ac:dyDescent="0.25">
      <c r="A259"/>
      <c r="B259"/>
    </row>
    <row r="260" spans="1:2" ht="15" x14ac:dyDescent="0.25">
      <c r="A260"/>
      <c r="B260"/>
    </row>
    <row r="261" spans="1:2" ht="15" x14ac:dyDescent="0.25">
      <c r="A261"/>
      <c r="B261"/>
    </row>
    <row r="262" spans="1:2" ht="15" x14ac:dyDescent="0.25">
      <c r="A262"/>
      <c r="B262"/>
    </row>
    <row r="263" spans="1:2" ht="15" x14ac:dyDescent="0.25">
      <c r="A263"/>
      <c r="B263"/>
    </row>
    <row r="264" spans="1:2" ht="15" x14ac:dyDescent="0.25">
      <c r="A264"/>
      <c r="B264"/>
    </row>
    <row r="265" spans="1:2" ht="15" x14ac:dyDescent="0.25">
      <c r="A265"/>
      <c r="B265"/>
    </row>
    <row r="266" spans="1:2" ht="15" x14ac:dyDescent="0.25">
      <c r="A266"/>
      <c r="B266"/>
    </row>
    <row r="267" spans="1:2" ht="15" x14ac:dyDescent="0.25">
      <c r="A267"/>
      <c r="B267"/>
    </row>
    <row r="268" spans="1:2" ht="15" x14ac:dyDescent="0.25">
      <c r="A268"/>
      <c r="B268"/>
    </row>
    <row r="269" spans="1:2" ht="15" x14ac:dyDescent="0.25">
      <c r="A269"/>
      <c r="B269"/>
    </row>
    <row r="270" spans="1:2" ht="15" x14ac:dyDescent="0.25">
      <c r="A270"/>
      <c r="B270"/>
    </row>
    <row r="271" spans="1:2" ht="15" x14ac:dyDescent="0.25">
      <c r="A271"/>
      <c r="B271"/>
    </row>
    <row r="272" spans="1:2" ht="15" x14ac:dyDescent="0.25">
      <c r="A272"/>
      <c r="B272"/>
    </row>
    <row r="273" spans="1:2" ht="15" x14ac:dyDescent="0.25">
      <c r="A273"/>
      <c r="B273"/>
    </row>
  </sheetData>
  <pageMargins left="0.511811024" right="0.511811024" top="0.78740157499999996" bottom="0.78740157499999996" header="0.31496062000000002" footer="0.31496062000000002"/>
  <pageSetup paperSize="9" orientation="portrait" verticalDpi="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9"/>
  <dimension ref="A1:J23"/>
  <sheetViews>
    <sheetView workbookViewId="0">
      <selection activeCell="M16" sqref="M16"/>
    </sheetView>
  </sheetViews>
  <sheetFormatPr defaultRowHeight="15" x14ac:dyDescent="0.25"/>
  <cols>
    <col min="1" max="1" width="40.42578125" bestFit="1" customWidth="1"/>
    <col min="2" max="2" width="31.7109375" bestFit="1" customWidth="1"/>
    <col min="3" max="3" width="8.5703125" customWidth="1"/>
    <col min="9" max="9" width="31.7109375" bestFit="1" customWidth="1"/>
  </cols>
  <sheetData>
    <row r="1" spans="1:10" x14ac:dyDescent="0.25">
      <c r="A1" t="s">
        <v>572</v>
      </c>
      <c r="B1" t="s">
        <v>571</v>
      </c>
      <c r="C1" t="s">
        <v>570</v>
      </c>
      <c r="I1" t="s">
        <v>571</v>
      </c>
      <c r="J1" t="s">
        <v>570</v>
      </c>
    </row>
    <row r="2" spans="1:10" x14ac:dyDescent="0.25">
      <c r="A2" t="s">
        <v>368</v>
      </c>
      <c r="B2" t="s">
        <v>13</v>
      </c>
      <c r="C2" t="s">
        <v>3</v>
      </c>
      <c r="I2" t="s">
        <v>18</v>
      </c>
      <c r="J2" t="s">
        <v>3</v>
      </c>
    </row>
    <row r="3" spans="1:10" x14ac:dyDescent="0.25">
      <c r="A3" t="s">
        <v>393</v>
      </c>
      <c r="B3" t="s">
        <v>7</v>
      </c>
      <c r="C3" t="s">
        <v>3</v>
      </c>
      <c r="I3" t="s">
        <v>79</v>
      </c>
      <c r="J3" t="s">
        <v>3</v>
      </c>
    </row>
    <row r="4" spans="1:10" x14ac:dyDescent="0.25">
      <c r="A4" t="s">
        <v>375</v>
      </c>
      <c r="B4" t="s">
        <v>101</v>
      </c>
      <c r="C4" t="s">
        <v>3</v>
      </c>
      <c r="I4" t="s">
        <v>165</v>
      </c>
      <c r="J4" t="s">
        <v>3</v>
      </c>
    </row>
    <row r="5" spans="1:10" x14ac:dyDescent="0.25">
      <c r="A5" t="s">
        <v>366</v>
      </c>
      <c r="B5" t="s">
        <v>18</v>
      </c>
      <c r="C5" t="s">
        <v>3</v>
      </c>
      <c r="I5" t="s">
        <v>6</v>
      </c>
      <c r="J5" t="s">
        <v>3</v>
      </c>
    </row>
    <row r="6" spans="1:10" x14ac:dyDescent="0.25">
      <c r="A6" t="s">
        <v>425</v>
      </c>
      <c r="B6" t="s">
        <v>6</v>
      </c>
      <c r="C6" t="s">
        <v>427</v>
      </c>
      <c r="I6" t="s">
        <v>101</v>
      </c>
      <c r="J6" t="s">
        <v>3</v>
      </c>
    </row>
    <row r="7" spans="1:10" x14ac:dyDescent="0.25">
      <c r="A7" t="s">
        <v>412</v>
      </c>
      <c r="B7" t="s">
        <v>415</v>
      </c>
      <c r="C7" t="s">
        <v>427</v>
      </c>
      <c r="I7" t="s">
        <v>7</v>
      </c>
      <c r="J7" t="e">
        <v>#REF!</v>
      </c>
    </row>
    <row r="8" spans="1:10" x14ac:dyDescent="0.25">
      <c r="A8" t="s">
        <v>124</v>
      </c>
      <c r="B8" t="s">
        <v>423</v>
      </c>
      <c r="C8" t="s">
        <v>3</v>
      </c>
      <c r="I8" t="s">
        <v>122</v>
      </c>
      <c r="J8" t="e">
        <v>#REF!</v>
      </c>
    </row>
    <row r="9" spans="1:10" x14ac:dyDescent="0.25">
      <c r="A9" t="s">
        <v>385</v>
      </c>
      <c r="B9" t="s">
        <v>423</v>
      </c>
      <c r="C9" t="s">
        <v>3</v>
      </c>
      <c r="I9" t="s">
        <v>13</v>
      </c>
      <c r="J9" t="s">
        <v>3</v>
      </c>
    </row>
    <row r="10" spans="1:10" x14ac:dyDescent="0.25">
      <c r="A10" t="s">
        <v>370</v>
      </c>
      <c r="B10" t="s">
        <v>6</v>
      </c>
      <c r="C10" t="s">
        <v>3</v>
      </c>
    </row>
    <row r="11" spans="1:10" x14ac:dyDescent="0.25">
      <c r="A11" t="s">
        <v>391</v>
      </c>
      <c r="B11" t="s">
        <v>7</v>
      </c>
      <c r="C11" t="s">
        <v>427</v>
      </c>
    </row>
    <row r="12" spans="1:10" x14ac:dyDescent="0.25">
      <c r="A12" t="s">
        <v>392</v>
      </c>
      <c r="B12" t="s">
        <v>6</v>
      </c>
      <c r="C12" t="s">
        <v>3</v>
      </c>
    </row>
    <row r="13" spans="1:10" x14ac:dyDescent="0.25">
      <c r="A13" t="s">
        <v>362</v>
      </c>
      <c r="B13" t="s">
        <v>101</v>
      </c>
      <c r="C13" t="s">
        <v>3</v>
      </c>
    </row>
    <row r="14" spans="1:10" x14ac:dyDescent="0.25">
      <c r="A14" t="s">
        <v>369</v>
      </c>
      <c r="B14" t="s">
        <v>423</v>
      </c>
      <c r="C14" t="s">
        <v>3</v>
      </c>
    </row>
    <row r="15" spans="1:10" x14ac:dyDescent="0.25">
      <c r="A15" t="s">
        <v>373</v>
      </c>
      <c r="B15" t="s">
        <v>13</v>
      </c>
      <c r="C15" t="s">
        <v>3</v>
      </c>
    </row>
    <row r="16" spans="1:10" x14ac:dyDescent="0.25">
      <c r="A16" t="s">
        <v>399</v>
      </c>
      <c r="B16" t="s">
        <v>423</v>
      </c>
      <c r="C16" t="s">
        <v>427</v>
      </c>
    </row>
    <row r="17" spans="1:10" x14ac:dyDescent="0.25">
      <c r="A17" t="s">
        <v>421</v>
      </c>
      <c r="B17" t="s">
        <v>165</v>
      </c>
      <c r="C17" t="s">
        <v>427</v>
      </c>
    </row>
    <row r="18" spans="1:10" x14ac:dyDescent="0.25">
      <c r="A18" t="s">
        <v>294</v>
      </c>
      <c r="B18" t="s">
        <v>423</v>
      </c>
      <c r="C18" t="s">
        <v>3</v>
      </c>
      <c r="I18" t="s">
        <v>573</v>
      </c>
      <c r="J18" t="s">
        <v>574</v>
      </c>
    </row>
    <row r="19" spans="1:10" x14ac:dyDescent="0.25">
      <c r="A19" t="s">
        <v>367</v>
      </c>
      <c r="B19" t="s">
        <v>7</v>
      </c>
      <c r="C19" t="s">
        <v>3</v>
      </c>
      <c r="I19" t="s">
        <v>573</v>
      </c>
      <c r="J19" t="s">
        <v>575</v>
      </c>
    </row>
    <row r="20" spans="1:10" x14ac:dyDescent="0.25">
      <c r="A20" t="s">
        <v>112</v>
      </c>
      <c r="B20" t="s">
        <v>122</v>
      </c>
      <c r="C20" t="s">
        <v>3</v>
      </c>
    </row>
    <row r="21" spans="1:10" x14ac:dyDescent="0.25">
      <c r="A21" t="s">
        <v>363</v>
      </c>
      <c r="B21" t="s">
        <v>101</v>
      </c>
      <c r="C21" t="s">
        <v>3</v>
      </c>
    </row>
    <row r="22" spans="1:10" x14ac:dyDescent="0.25">
      <c r="A22" t="s">
        <v>67</v>
      </c>
      <c r="B22" t="s">
        <v>7</v>
      </c>
      <c r="C22" t="e">
        <v>#REF!</v>
      </c>
    </row>
    <row r="23" spans="1:10" x14ac:dyDescent="0.25">
      <c r="A23" t="s">
        <v>569</v>
      </c>
      <c r="B23" t="s">
        <v>101</v>
      </c>
      <c r="C23" t="s">
        <v>427</v>
      </c>
    </row>
  </sheetData>
  <sortState xmlns:xlrd2="http://schemas.microsoft.com/office/spreadsheetml/2017/richdata2" ref="A2:B22">
    <sortCondition ref="A3:A22"/>
  </sortState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10"/>
  <dimension ref="A1:Q177"/>
  <sheetViews>
    <sheetView workbookViewId="0">
      <selection activeCell="P10" sqref="P10"/>
    </sheetView>
  </sheetViews>
  <sheetFormatPr defaultRowHeight="15" x14ac:dyDescent="0.25"/>
  <cols>
    <col min="1" max="1" width="7.140625" bestFit="1" customWidth="1"/>
    <col min="2" max="2" width="45.140625" bestFit="1" customWidth="1"/>
    <col min="3" max="3" width="40.42578125" hidden="1" customWidth="1"/>
    <col min="4" max="4" width="31.7109375" hidden="1" customWidth="1"/>
    <col min="6" max="6" width="6.42578125" bestFit="1" customWidth="1"/>
    <col min="7" max="7" width="18.5703125" bestFit="1" customWidth="1"/>
    <col min="8" max="8" width="3.28515625" bestFit="1" customWidth="1"/>
    <col min="9" max="9" width="24.42578125" bestFit="1" customWidth="1"/>
    <col min="10" max="10" width="11.5703125" bestFit="1" customWidth="1"/>
    <col min="11" max="11" width="23.5703125" bestFit="1" customWidth="1"/>
    <col min="12" max="12" width="13.28515625" bestFit="1" customWidth="1"/>
  </cols>
  <sheetData>
    <row r="1" spans="1:14" x14ac:dyDescent="0.25">
      <c r="A1" t="s">
        <v>0</v>
      </c>
      <c r="B1" t="s">
        <v>1</v>
      </c>
      <c r="C1" t="s">
        <v>361</v>
      </c>
      <c r="D1" t="s">
        <v>2</v>
      </c>
      <c r="E1" t="s">
        <v>379</v>
      </c>
      <c r="F1" s="2" t="s">
        <v>360</v>
      </c>
      <c r="G1" s="7" t="s">
        <v>383</v>
      </c>
      <c r="H1" s="2" t="s">
        <v>372</v>
      </c>
      <c r="I1" s="1" t="s">
        <v>387</v>
      </c>
      <c r="J1" t="s">
        <v>429</v>
      </c>
      <c r="K1" t="s">
        <v>430</v>
      </c>
      <c r="L1" t="s">
        <v>559</v>
      </c>
      <c r="M1" t="s">
        <v>560</v>
      </c>
    </row>
    <row r="2" spans="1:14" x14ac:dyDescent="0.25">
      <c r="A2">
        <v>10201</v>
      </c>
      <c r="B2" t="s">
        <v>133</v>
      </c>
      <c r="C2" t="s">
        <v>366</v>
      </c>
      <c r="D2" t="s">
        <v>18</v>
      </c>
      <c r="E2" t="s">
        <v>380</v>
      </c>
      <c r="F2" s="2" t="s">
        <v>3</v>
      </c>
      <c r="G2" s="2">
        <v>0</v>
      </c>
      <c r="H2" s="2">
        <v>4</v>
      </c>
      <c r="I2" t="s">
        <v>388</v>
      </c>
      <c r="J2" t="s">
        <v>432</v>
      </c>
      <c r="K2" t="s">
        <v>433</v>
      </c>
      <c r="L2" t="s">
        <v>557</v>
      </c>
      <c r="M2" t="s">
        <v>563</v>
      </c>
    </row>
    <row r="3" spans="1:14" x14ac:dyDescent="0.25">
      <c r="A3">
        <v>31174</v>
      </c>
      <c r="B3" t="s">
        <v>231</v>
      </c>
      <c r="C3" t="s">
        <v>426</v>
      </c>
      <c r="D3" t="s">
        <v>79</v>
      </c>
      <c r="E3" t="s">
        <v>380</v>
      </c>
      <c r="F3" s="2" t="s">
        <v>3</v>
      </c>
      <c r="G3" s="2">
        <v>0</v>
      </c>
      <c r="H3" s="2">
        <v>4</v>
      </c>
      <c r="I3" t="s">
        <v>388</v>
      </c>
      <c r="J3" t="s">
        <v>432</v>
      </c>
      <c r="K3" t="s">
        <v>434</v>
      </c>
      <c r="L3" t="s">
        <v>557</v>
      </c>
      <c r="M3" t="s">
        <v>563</v>
      </c>
    </row>
    <row r="4" spans="1:14" x14ac:dyDescent="0.25">
      <c r="A4">
        <v>20990</v>
      </c>
      <c r="B4" t="s">
        <v>222</v>
      </c>
      <c r="C4" t="s">
        <v>419</v>
      </c>
      <c r="D4" t="s">
        <v>79</v>
      </c>
      <c r="E4" t="s">
        <v>380</v>
      </c>
      <c r="F4" s="2" t="s">
        <v>3</v>
      </c>
      <c r="G4" s="2">
        <v>0</v>
      </c>
      <c r="H4" s="2">
        <v>4</v>
      </c>
      <c r="I4" t="s">
        <v>389</v>
      </c>
      <c r="J4" t="s">
        <v>432</v>
      </c>
      <c r="K4" t="s">
        <v>436</v>
      </c>
      <c r="L4" t="s">
        <v>557</v>
      </c>
      <c r="M4" t="s">
        <v>563</v>
      </c>
    </row>
    <row r="5" spans="1:14" x14ac:dyDescent="0.25">
      <c r="A5">
        <v>50809</v>
      </c>
      <c r="B5" t="s">
        <v>273</v>
      </c>
      <c r="C5" t="s">
        <v>375</v>
      </c>
      <c r="D5" t="s">
        <v>101</v>
      </c>
      <c r="E5" t="s">
        <v>380</v>
      </c>
      <c r="F5" s="2" t="s">
        <v>3</v>
      </c>
      <c r="G5" s="2">
        <v>0</v>
      </c>
      <c r="H5" s="2">
        <v>5</v>
      </c>
      <c r="I5" t="s">
        <v>389</v>
      </c>
      <c r="J5" t="s">
        <v>432</v>
      </c>
      <c r="K5" t="s">
        <v>437</v>
      </c>
      <c r="L5" t="s">
        <v>557</v>
      </c>
      <c r="M5" t="s">
        <v>563</v>
      </c>
    </row>
    <row r="6" spans="1:14" x14ac:dyDescent="0.25">
      <c r="A6">
        <v>2222</v>
      </c>
      <c r="B6" t="s">
        <v>82</v>
      </c>
      <c r="C6" t="s">
        <v>419</v>
      </c>
      <c r="D6" t="s">
        <v>79</v>
      </c>
      <c r="E6" t="s">
        <v>380</v>
      </c>
      <c r="F6" s="2" t="s">
        <v>3</v>
      </c>
      <c r="G6" s="2">
        <v>0</v>
      </c>
      <c r="H6" s="2">
        <v>3</v>
      </c>
      <c r="I6" t="s">
        <v>389</v>
      </c>
      <c r="J6" t="s">
        <v>432</v>
      </c>
      <c r="K6" t="s">
        <v>438</v>
      </c>
      <c r="L6" t="s">
        <v>557</v>
      </c>
      <c r="M6" t="s">
        <v>563</v>
      </c>
    </row>
    <row r="7" spans="1:14" x14ac:dyDescent="0.25">
      <c r="A7">
        <v>61019</v>
      </c>
      <c r="B7" t="s">
        <v>309</v>
      </c>
      <c r="C7" t="s">
        <v>385</v>
      </c>
      <c r="D7" t="s">
        <v>423</v>
      </c>
      <c r="E7" t="s">
        <v>380</v>
      </c>
      <c r="F7" s="2" t="s">
        <v>3</v>
      </c>
      <c r="G7" s="7">
        <v>44298</v>
      </c>
      <c r="H7" s="2">
        <v>4</v>
      </c>
      <c r="I7" t="s">
        <v>388</v>
      </c>
      <c r="J7" t="s">
        <v>432</v>
      </c>
      <c r="K7" t="s">
        <v>439</v>
      </c>
      <c r="L7" t="s">
        <v>557</v>
      </c>
      <c r="M7" t="s">
        <v>563</v>
      </c>
    </row>
    <row r="8" spans="1:14" x14ac:dyDescent="0.25">
      <c r="A8">
        <v>60495</v>
      </c>
      <c r="B8" t="s">
        <v>296</v>
      </c>
      <c r="C8" t="s">
        <v>385</v>
      </c>
      <c r="D8" t="s">
        <v>423</v>
      </c>
      <c r="E8" t="s">
        <v>380</v>
      </c>
      <c r="F8" s="2" t="s">
        <v>3</v>
      </c>
      <c r="G8" s="7">
        <v>44295</v>
      </c>
      <c r="H8" s="2">
        <v>4</v>
      </c>
      <c r="I8" t="s">
        <v>388</v>
      </c>
      <c r="J8" t="s">
        <v>432</v>
      </c>
      <c r="K8" t="s">
        <v>440</v>
      </c>
      <c r="L8" t="s">
        <v>557</v>
      </c>
      <c r="M8" t="s">
        <v>563</v>
      </c>
    </row>
    <row r="9" spans="1:14" x14ac:dyDescent="0.25">
      <c r="A9">
        <v>53556</v>
      </c>
      <c r="B9" t="s">
        <v>278</v>
      </c>
      <c r="C9" t="s">
        <v>367</v>
      </c>
      <c r="D9" t="s">
        <v>7</v>
      </c>
      <c r="E9" t="s">
        <v>380</v>
      </c>
      <c r="F9" s="2" t="s">
        <v>3</v>
      </c>
      <c r="G9" s="2">
        <v>0</v>
      </c>
      <c r="H9" s="2">
        <v>6</v>
      </c>
      <c r="I9" t="s">
        <v>388</v>
      </c>
      <c r="J9" t="s">
        <v>432</v>
      </c>
      <c r="K9" t="s">
        <v>441</v>
      </c>
      <c r="L9" t="s">
        <v>557</v>
      </c>
      <c r="M9" t="s">
        <v>563</v>
      </c>
    </row>
    <row r="10" spans="1:14" x14ac:dyDescent="0.25">
      <c r="A10">
        <v>18936</v>
      </c>
      <c r="B10" t="s">
        <v>184</v>
      </c>
      <c r="C10" t="s">
        <v>420</v>
      </c>
      <c r="D10" t="s">
        <v>122</v>
      </c>
      <c r="E10" t="s">
        <v>380</v>
      </c>
      <c r="F10" s="2" t="s">
        <v>3</v>
      </c>
      <c r="G10" s="7">
        <v>44361</v>
      </c>
      <c r="H10" s="2">
        <v>3</v>
      </c>
      <c r="I10" t="s">
        <v>389</v>
      </c>
      <c r="J10" t="s">
        <v>432</v>
      </c>
      <c r="K10" t="s">
        <v>442</v>
      </c>
      <c r="L10" t="s">
        <v>557</v>
      </c>
      <c r="M10" t="s">
        <v>563</v>
      </c>
    </row>
    <row r="11" spans="1:14" x14ac:dyDescent="0.25">
      <c r="A11">
        <v>1453</v>
      </c>
      <c r="B11" t="s">
        <v>59</v>
      </c>
      <c r="C11" t="s">
        <v>393</v>
      </c>
      <c r="D11" t="s">
        <v>7</v>
      </c>
      <c r="E11" t="s">
        <v>380</v>
      </c>
      <c r="F11" s="2" t="s">
        <v>3</v>
      </c>
      <c r="G11" s="2">
        <v>0</v>
      </c>
      <c r="H11" s="2">
        <v>5</v>
      </c>
      <c r="I11" t="s">
        <v>388</v>
      </c>
      <c r="J11" t="s">
        <v>432</v>
      </c>
      <c r="K11" t="s">
        <v>445</v>
      </c>
      <c r="L11" t="s">
        <v>557</v>
      </c>
      <c r="M11" t="s">
        <v>563</v>
      </c>
    </row>
    <row r="12" spans="1:14" x14ac:dyDescent="0.25">
      <c r="A12">
        <v>1407</v>
      </c>
      <c r="B12" t="s">
        <v>16</v>
      </c>
      <c r="C12" t="s">
        <v>366</v>
      </c>
      <c r="D12" t="s">
        <v>18</v>
      </c>
      <c r="E12" t="s">
        <v>380</v>
      </c>
      <c r="F12" s="2" t="s">
        <v>3</v>
      </c>
      <c r="G12" s="2">
        <v>0</v>
      </c>
      <c r="H12" s="2">
        <v>5</v>
      </c>
      <c r="I12" t="s">
        <v>388</v>
      </c>
      <c r="J12" t="s">
        <v>432</v>
      </c>
      <c r="K12" t="s">
        <v>446</v>
      </c>
      <c r="L12" t="s">
        <v>557</v>
      </c>
      <c r="M12" t="s">
        <v>563</v>
      </c>
    </row>
    <row r="13" spans="1:14" x14ac:dyDescent="0.25">
      <c r="A13">
        <v>1434</v>
      </c>
      <c r="B13" t="s">
        <v>44</v>
      </c>
      <c r="C13" t="s">
        <v>392</v>
      </c>
      <c r="D13" t="s">
        <v>6</v>
      </c>
      <c r="E13" t="s">
        <v>380</v>
      </c>
      <c r="F13" s="2" t="s">
        <v>3</v>
      </c>
      <c r="G13" s="2">
        <v>0</v>
      </c>
      <c r="H13" s="2">
        <v>5</v>
      </c>
      <c r="I13" t="s">
        <v>388</v>
      </c>
      <c r="J13" t="s">
        <v>432</v>
      </c>
      <c r="K13" t="s">
        <v>447</v>
      </c>
      <c r="L13" t="s">
        <v>557</v>
      </c>
      <c r="M13" t="s">
        <v>563</v>
      </c>
    </row>
    <row r="14" spans="1:14" x14ac:dyDescent="0.25">
      <c r="A14">
        <v>1436</v>
      </c>
      <c r="B14" t="s">
        <v>48</v>
      </c>
      <c r="C14" t="s">
        <v>67</v>
      </c>
      <c r="D14" t="s">
        <v>7</v>
      </c>
      <c r="E14" t="s">
        <v>380</v>
      </c>
      <c r="F14" s="2" t="s">
        <v>3</v>
      </c>
      <c r="G14" s="2">
        <v>0</v>
      </c>
      <c r="H14" s="2">
        <v>3</v>
      </c>
      <c r="I14" t="s">
        <v>388</v>
      </c>
      <c r="J14" t="s">
        <v>432</v>
      </c>
      <c r="K14" t="s">
        <v>448</v>
      </c>
      <c r="L14" t="s">
        <v>557</v>
      </c>
      <c r="M14" t="s">
        <v>564</v>
      </c>
      <c r="N14" t="s">
        <v>561</v>
      </c>
    </row>
    <row r="15" spans="1:14" x14ac:dyDescent="0.25">
      <c r="A15">
        <v>18105</v>
      </c>
      <c r="B15" t="s">
        <v>180</v>
      </c>
      <c r="C15" t="s">
        <v>420</v>
      </c>
      <c r="D15" t="s">
        <v>122</v>
      </c>
      <c r="E15" t="s">
        <v>380</v>
      </c>
      <c r="F15" s="2" t="s">
        <v>3</v>
      </c>
      <c r="G15" s="2">
        <v>0</v>
      </c>
      <c r="H15" s="2">
        <v>4</v>
      </c>
      <c r="I15" t="s">
        <v>389</v>
      </c>
      <c r="J15" t="s">
        <v>432</v>
      </c>
      <c r="K15" t="s">
        <v>449</v>
      </c>
      <c r="L15" t="s">
        <v>557</v>
      </c>
      <c r="M15" t="s">
        <v>563</v>
      </c>
    </row>
    <row r="16" spans="1:14" x14ac:dyDescent="0.25">
      <c r="A16">
        <v>5502</v>
      </c>
      <c r="B16" t="s">
        <v>102</v>
      </c>
      <c r="C16" t="s">
        <v>375</v>
      </c>
      <c r="D16" t="s">
        <v>101</v>
      </c>
      <c r="E16" t="s">
        <v>380</v>
      </c>
      <c r="F16" s="2" t="s">
        <v>3</v>
      </c>
      <c r="G16" s="2">
        <v>0</v>
      </c>
      <c r="H16" s="2">
        <v>5</v>
      </c>
      <c r="I16" t="s">
        <v>389</v>
      </c>
      <c r="J16" t="s">
        <v>432</v>
      </c>
      <c r="K16" t="s">
        <v>450</v>
      </c>
      <c r="L16" t="s">
        <v>557</v>
      </c>
      <c r="N16" t="s">
        <v>563</v>
      </c>
    </row>
    <row r="17" spans="1:14" x14ac:dyDescent="0.25">
      <c r="A17">
        <v>1487</v>
      </c>
      <c r="B17" t="s">
        <v>70</v>
      </c>
      <c r="C17" t="s">
        <v>391</v>
      </c>
      <c r="D17" t="s">
        <v>7</v>
      </c>
      <c r="E17" t="s">
        <v>380</v>
      </c>
      <c r="F17" s="2" t="s">
        <v>3</v>
      </c>
      <c r="G17" s="2">
        <v>0</v>
      </c>
      <c r="H17" s="2">
        <v>4</v>
      </c>
      <c r="I17" t="s">
        <v>388</v>
      </c>
      <c r="J17" t="s">
        <v>432</v>
      </c>
      <c r="K17" t="s">
        <v>451</v>
      </c>
      <c r="L17" t="s">
        <v>557</v>
      </c>
      <c r="N17" t="s">
        <v>563</v>
      </c>
    </row>
    <row r="18" spans="1:14" x14ac:dyDescent="0.25">
      <c r="A18">
        <v>12200</v>
      </c>
      <c r="B18" t="s">
        <v>162</v>
      </c>
      <c r="C18" t="s">
        <v>416</v>
      </c>
      <c r="D18" t="s">
        <v>13</v>
      </c>
      <c r="E18" t="s">
        <v>380</v>
      </c>
      <c r="F18" s="2" t="s">
        <v>3</v>
      </c>
      <c r="G18" s="2">
        <v>0</v>
      </c>
      <c r="H18" s="2">
        <v>6</v>
      </c>
      <c r="I18" t="s">
        <v>388</v>
      </c>
      <c r="J18" t="s">
        <v>432</v>
      </c>
      <c r="K18" t="s">
        <v>452</v>
      </c>
      <c r="L18" t="s">
        <v>557</v>
      </c>
      <c r="N18" t="s">
        <v>563</v>
      </c>
    </row>
    <row r="19" spans="1:14" x14ac:dyDescent="0.25">
      <c r="A19">
        <v>31373</v>
      </c>
      <c r="B19" t="s">
        <v>242</v>
      </c>
      <c r="C19" t="s">
        <v>370</v>
      </c>
      <c r="D19" t="s">
        <v>6</v>
      </c>
      <c r="E19" t="s">
        <v>380</v>
      </c>
      <c r="F19" s="2" t="s">
        <v>3</v>
      </c>
      <c r="G19" s="7">
        <v>44277</v>
      </c>
      <c r="H19" s="2">
        <v>3</v>
      </c>
      <c r="I19" t="s">
        <v>389</v>
      </c>
      <c r="J19" t="s">
        <v>432</v>
      </c>
      <c r="K19" t="s">
        <v>453</v>
      </c>
      <c r="L19" t="s">
        <v>557</v>
      </c>
      <c r="N19" t="s">
        <v>563</v>
      </c>
    </row>
    <row r="20" spans="1:14" x14ac:dyDescent="0.25">
      <c r="A20">
        <v>19707</v>
      </c>
      <c r="B20" t="s">
        <v>192</v>
      </c>
      <c r="C20" t="s">
        <v>67</v>
      </c>
      <c r="D20" t="s">
        <v>7</v>
      </c>
      <c r="E20" t="s">
        <v>380</v>
      </c>
      <c r="F20" s="2" t="s">
        <v>3</v>
      </c>
      <c r="G20" s="2">
        <v>0</v>
      </c>
      <c r="H20" s="2">
        <v>3</v>
      </c>
      <c r="I20" t="s">
        <v>388</v>
      </c>
      <c r="J20" t="s">
        <v>432</v>
      </c>
      <c r="K20" t="s">
        <v>454</v>
      </c>
      <c r="L20" t="s">
        <v>557</v>
      </c>
      <c r="N20" t="s">
        <v>563</v>
      </c>
    </row>
    <row r="21" spans="1:14" x14ac:dyDescent="0.25">
      <c r="A21">
        <v>11303</v>
      </c>
      <c r="B21" t="s">
        <v>157</v>
      </c>
      <c r="C21" t="s">
        <v>124</v>
      </c>
      <c r="D21" t="s">
        <v>423</v>
      </c>
      <c r="E21" t="s">
        <v>380</v>
      </c>
      <c r="F21" s="2" t="s">
        <v>3</v>
      </c>
      <c r="G21" s="7">
        <v>44138</v>
      </c>
      <c r="H21" s="2">
        <v>6</v>
      </c>
      <c r="I21" t="s">
        <v>389</v>
      </c>
      <c r="J21" t="s">
        <v>432</v>
      </c>
      <c r="K21" t="s">
        <v>456</v>
      </c>
      <c r="L21" t="s">
        <v>557</v>
      </c>
      <c r="N21" t="s">
        <v>563</v>
      </c>
    </row>
    <row r="22" spans="1:14" x14ac:dyDescent="0.25">
      <c r="A22">
        <v>80969</v>
      </c>
      <c r="B22" t="s">
        <v>313</v>
      </c>
      <c r="C22" t="s">
        <v>420</v>
      </c>
      <c r="D22" t="s">
        <v>122</v>
      </c>
      <c r="E22" t="s">
        <v>380</v>
      </c>
      <c r="F22" s="2" t="s">
        <v>3</v>
      </c>
      <c r="G22" s="2">
        <v>0</v>
      </c>
      <c r="H22" s="2">
        <v>4</v>
      </c>
      <c r="I22" t="s">
        <v>389</v>
      </c>
      <c r="J22" t="s">
        <v>432</v>
      </c>
      <c r="K22" t="s">
        <v>457</v>
      </c>
      <c r="L22" t="s">
        <v>557</v>
      </c>
      <c r="N22" t="s">
        <v>563</v>
      </c>
    </row>
    <row r="23" spans="1:14" x14ac:dyDescent="0.25">
      <c r="A23">
        <v>31276</v>
      </c>
      <c r="B23" t="s">
        <v>238</v>
      </c>
      <c r="C23" t="s">
        <v>370</v>
      </c>
      <c r="D23" t="s">
        <v>6</v>
      </c>
      <c r="E23" t="s">
        <v>380</v>
      </c>
      <c r="F23" s="2" t="s">
        <v>3</v>
      </c>
      <c r="G23" s="2">
        <v>0</v>
      </c>
      <c r="H23" s="2">
        <v>5</v>
      </c>
      <c r="I23" t="s">
        <v>389</v>
      </c>
      <c r="J23" t="s">
        <v>432</v>
      </c>
      <c r="K23" t="s">
        <v>458</v>
      </c>
      <c r="L23" t="s">
        <v>557</v>
      </c>
      <c r="N23" t="s">
        <v>563</v>
      </c>
    </row>
    <row r="24" spans="1:14" x14ac:dyDescent="0.25">
      <c r="A24">
        <v>1443</v>
      </c>
      <c r="B24" t="s">
        <v>53</v>
      </c>
      <c r="C24" t="s">
        <v>393</v>
      </c>
      <c r="D24" t="s">
        <v>7</v>
      </c>
      <c r="E24" t="s">
        <v>380</v>
      </c>
      <c r="F24" s="2" t="s">
        <v>3</v>
      </c>
      <c r="G24" s="2">
        <v>0</v>
      </c>
      <c r="H24" s="2">
        <v>7</v>
      </c>
      <c r="I24" t="s">
        <v>388</v>
      </c>
      <c r="J24" t="s">
        <v>432</v>
      </c>
      <c r="K24" t="s">
        <v>459</v>
      </c>
      <c r="L24" t="s">
        <v>557</v>
      </c>
      <c r="N24" t="s">
        <v>563</v>
      </c>
    </row>
    <row r="25" spans="1:14" x14ac:dyDescent="0.25">
      <c r="A25">
        <v>2913</v>
      </c>
      <c r="B25" t="s">
        <v>84</v>
      </c>
      <c r="C25" t="s">
        <v>419</v>
      </c>
      <c r="D25" t="s">
        <v>79</v>
      </c>
      <c r="E25" t="s">
        <v>380</v>
      </c>
      <c r="F25" s="2" t="s">
        <v>3</v>
      </c>
      <c r="G25" s="7">
        <v>44088</v>
      </c>
      <c r="H25" s="2">
        <v>5</v>
      </c>
      <c r="I25" t="s">
        <v>389</v>
      </c>
      <c r="J25" t="s">
        <v>432</v>
      </c>
      <c r="K25" t="s">
        <v>460</v>
      </c>
      <c r="L25" t="s">
        <v>557</v>
      </c>
      <c r="N25" t="s">
        <v>563</v>
      </c>
    </row>
    <row r="26" spans="1:14" x14ac:dyDescent="0.25">
      <c r="A26">
        <v>45034</v>
      </c>
      <c r="B26" t="s">
        <v>258</v>
      </c>
      <c r="C26" t="s">
        <v>373</v>
      </c>
      <c r="D26" t="s">
        <v>13</v>
      </c>
      <c r="E26" t="s">
        <v>380</v>
      </c>
      <c r="F26" s="2" t="s">
        <v>3</v>
      </c>
      <c r="G26" s="2">
        <v>0</v>
      </c>
      <c r="H26" s="2">
        <v>5</v>
      </c>
      <c r="I26" t="s">
        <v>388</v>
      </c>
      <c r="J26" t="s">
        <v>432</v>
      </c>
      <c r="K26" t="s">
        <v>461</v>
      </c>
      <c r="L26" t="s">
        <v>557</v>
      </c>
      <c r="N26" t="s">
        <v>563</v>
      </c>
    </row>
    <row r="27" spans="1:14" x14ac:dyDescent="0.25">
      <c r="A27">
        <v>20987</v>
      </c>
      <c r="B27" t="s">
        <v>219</v>
      </c>
      <c r="C27" t="s">
        <v>419</v>
      </c>
      <c r="D27" t="s">
        <v>79</v>
      </c>
      <c r="E27" t="s">
        <v>380</v>
      </c>
      <c r="F27" s="2" t="s">
        <v>3</v>
      </c>
      <c r="G27" s="2">
        <v>0</v>
      </c>
      <c r="H27" s="2">
        <v>6</v>
      </c>
      <c r="I27" t="s">
        <v>389</v>
      </c>
      <c r="J27" t="s">
        <v>432</v>
      </c>
      <c r="K27" t="s">
        <v>462</v>
      </c>
      <c r="L27" t="s">
        <v>557</v>
      </c>
      <c r="N27" t="s">
        <v>563</v>
      </c>
    </row>
    <row r="28" spans="1:14" x14ac:dyDescent="0.25">
      <c r="A28">
        <v>19715</v>
      </c>
      <c r="B28" t="s">
        <v>199</v>
      </c>
      <c r="C28" t="s">
        <v>418</v>
      </c>
      <c r="D28" t="s">
        <v>18</v>
      </c>
      <c r="E28" t="s">
        <v>380</v>
      </c>
      <c r="F28" s="2" t="s">
        <v>3</v>
      </c>
      <c r="G28" s="2">
        <v>0</v>
      </c>
      <c r="H28" s="2">
        <v>4</v>
      </c>
      <c r="I28" t="s">
        <v>388</v>
      </c>
      <c r="J28" t="s">
        <v>432</v>
      </c>
      <c r="K28" t="s">
        <v>463</v>
      </c>
      <c r="L28" t="s">
        <v>557</v>
      </c>
      <c r="N28" t="s">
        <v>563</v>
      </c>
    </row>
    <row r="29" spans="1:14" x14ac:dyDescent="0.25">
      <c r="A29">
        <v>600046</v>
      </c>
      <c r="B29" t="s">
        <v>331</v>
      </c>
      <c r="C29" t="s">
        <v>369</v>
      </c>
      <c r="D29" t="s">
        <v>423</v>
      </c>
      <c r="E29" t="s">
        <v>380</v>
      </c>
      <c r="F29" s="2" t="s">
        <v>3</v>
      </c>
      <c r="G29" s="7">
        <v>44529</v>
      </c>
      <c r="H29" s="8">
        <v>5</v>
      </c>
      <c r="I29" t="s">
        <v>388</v>
      </c>
      <c r="J29" t="s">
        <v>432</v>
      </c>
      <c r="K29" t="s">
        <v>464</v>
      </c>
      <c r="L29" t="s">
        <v>557</v>
      </c>
      <c r="N29" t="s">
        <v>563</v>
      </c>
    </row>
    <row r="30" spans="1:14" x14ac:dyDescent="0.25">
      <c r="A30">
        <v>19201</v>
      </c>
      <c r="B30" t="s">
        <v>186</v>
      </c>
      <c r="C30" t="s">
        <v>124</v>
      </c>
      <c r="D30" t="s">
        <v>423</v>
      </c>
      <c r="E30" t="s">
        <v>380</v>
      </c>
      <c r="F30" s="2" t="s">
        <v>3</v>
      </c>
      <c r="G30" s="2">
        <v>0</v>
      </c>
      <c r="H30" s="2">
        <v>4</v>
      </c>
      <c r="I30" t="s">
        <v>389</v>
      </c>
      <c r="J30" t="s">
        <v>432</v>
      </c>
      <c r="K30" t="s">
        <v>465</v>
      </c>
      <c r="L30" t="s">
        <v>557</v>
      </c>
      <c r="N30" t="s">
        <v>563</v>
      </c>
    </row>
    <row r="31" spans="1:14" x14ac:dyDescent="0.25">
      <c r="A31">
        <v>3802</v>
      </c>
      <c r="B31" t="s">
        <v>92</v>
      </c>
      <c r="C31" t="s">
        <v>426</v>
      </c>
      <c r="D31" t="s">
        <v>79</v>
      </c>
      <c r="E31" t="s">
        <v>380</v>
      </c>
      <c r="F31" s="2" t="s">
        <v>3</v>
      </c>
      <c r="G31" s="2">
        <v>0</v>
      </c>
      <c r="H31" s="2">
        <v>6</v>
      </c>
      <c r="I31" t="s">
        <v>388</v>
      </c>
      <c r="J31" t="s">
        <v>432</v>
      </c>
      <c r="K31" t="s">
        <v>466</v>
      </c>
      <c r="L31" t="s">
        <v>557</v>
      </c>
      <c r="N31" t="s">
        <v>563</v>
      </c>
    </row>
    <row r="32" spans="1:14" x14ac:dyDescent="0.25">
      <c r="A32">
        <v>60503</v>
      </c>
      <c r="B32" t="s">
        <v>304</v>
      </c>
      <c r="C32" t="s">
        <v>294</v>
      </c>
      <c r="D32" t="s">
        <v>423</v>
      </c>
      <c r="E32" t="s">
        <v>380</v>
      </c>
      <c r="F32" s="2" t="s">
        <v>3</v>
      </c>
      <c r="G32" s="7">
        <v>44326</v>
      </c>
      <c r="H32" s="2">
        <v>6</v>
      </c>
      <c r="I32" t="s">
        <v>388</v>
      </c>
      <c r="J32" t="s">
        <v>432</v>
      </c>
      <c r="K32" t="s">
        <v>467</v>
      </c>
      <c r="L32" t="s">
        <v>557</v>
      </c>
      <c r="N32" t="s">
        <v>563</v>
      </c>
    </row>
    <row r="33" spans="1:14" x14ac:dyDescent="0.25">
      <c r="A33">
        <v>10331</v>
      </c>
      <c r="B33" t="s">
        <v>138</v>
      </c>
      <c r="C33" t="s">
        <v>419</v>
      </c>
      <c r="D33" t="s">
        <v>79</v>
      </c>
      <c r="E33" t="s">
        <v>380</v>
      </c>
      <c r="F33" s="2" t="s">
        <v>3</v>
      </c>
      <c r="G33" s="7">
        <v>44075</v>
      </c>
      <c r="H33" s="2">
        <v>4</v>
      </c>
      <c r="I33" t="s">
        <v>389</v>
      </c>
      <c r="J33" t="s">
        <v>432</v>
      </c>
      <c r="K33" t="s">
        <v>468</v>
      </c>
      <c r="L33" t="s">
        <v>557</v>
      </c>
      <c r="N33" t="s">
        <v>563</v>
      </c>
    </row>
    <row r="34" spans="1:14" x14ac:dyDescent="0.25">
      <c r="A34">
        <v>1421</v>
      </c>
      <c r="B34" t="s">
        <v>32</v>
      </c>
      <c r="C34" t="s">
        <v>416</v>
      </c>
      <c r="D34" t="s">
        <v>13</v>
      </c>
      <c r="E34" t="s">
        <v>380</v>
      </c>
      <c r="F34" s="2" t="s">
        <v>3</v>
      </c>
      <c r="G34" s="2">
        <v>0</v>
      </c>
      <c r="H34" s="2">
        <v>7</v>
      </c>
      <c r="I34" t="s">
        <v>388</v>
      </c>
      <c r="J34" t="s">
        <v>432</v>
      </c>
      <c r="K34" t="s">
        <v>469</v>
      </c>
      <c r="L34" t="s">
        <v>557</v>
      </c>
      <c r="N34" t="s">
        <v>563</v>
      </c>
    </row>
    <row r="35" spans="1:14" x14ac:dyDescent="0.25">
      <c r="A35">
        <v>3801</v>
      </c>
      <c r="B35" t="s">
        <v>91</v>
      </c>
      <c r="C35" t="s">
        <v>426</v>
      </c>
      <c r="D35" t="s">
        <v>79</v>
      </c>
      <c r="E35" t="s">
        <v>380</v>
      </c>
      <c r="F35" s="2" t="s">
        <v>3</v>
      </c>
      <c r="G35" s="2">
        <v>0</v>
      </c>
      <c r="H35" s="2">
        <v>4</v>
      </c>
      <c r="I35" t="s">
        <v>388</v>
      </c>
      <c r="J35" t="s">
        <v>432</v>
      </c>
      <c r="K35" t="s">
        <v>470</v>
      </c>
      <c r="L35" t="s">
        <v>557</v>
      </c>
      <c r="N35" t="s">
        <v>561</v>
      </c>
    </row>
    <row r="36" spans="1:14" x14ac:dyDescent="0.25">
      <c r="A36">
        <v>2802</v>
      </c>
      <c r="B36" t="s">
        <v>83</v>
      </c>
      <c r="C36" t="s">
        <v>419</v>
      </c>
      <c r="D36" t="s">
        <v>79</v>
      </c>
      <c r="E36" t="s">
        <v>380</v>
      </c>
      <c r="F36" s="2" t="s">
        <v>3</v>
      </c>
      <c r="G36" s="2">
        <v>0</v>
      </c>
      <c r="H36" s="2">
        <v>5</v>
      </c>
      <c r="I36" t="s">
        <v>389</v>
      </c>
      <c r="J36" t="s">
        <v>432</v>
      </c>
      <c r="K36" t="s">
        <v>471</v>
      </c>
      <c r="L36" t="s">
        <v>557</v>
      </c>
      <c r="N36" t="s">
        <v>561</v>
      </c>
    </row>
    <row r="37" spans="1:14" x14ac:dyDescent="0.25">
      <c r="A37">
        <v>31226</v>
      </c>
      <c r="B37" t="s">
        <v>236</v>
      </c>
      <c r="C37" t="s">
        <v>370</v>
      </c>
      <c r="D37" t="s">
        <v>6</v>
      </c>
      <c r="E37" t="s">
        <v>380</v>
      </c>
      <c r="F37" s="2" t="s">
        <v>3</v>
      </c>
      <c r="G37" s="2">
        <v>0</v>
      </c>
      <c r="H37" s="2">
        <v>5</v>
      </c>
      <c r="I37" t="s">
        <v>389</v>
      </c>
      <c r="J37" t="s">
        <v>432</v>
      </c>
      <c r="K37" t="s">
        <v>473</v>
      </c>
      <c r="L37" t="s">
        <v>557</v>
      </c>
      <c r="N37" t="s">
        <v>561</v>
      </c>
    </row>
    <row r="38" spans="1:14" x14ac:dyDescent="0.25">
      <c r="A38">
        <v>1432</v>
      </c>
      <c r="B38" t="s">
        <v>42</v>
      </c>
      <c r="C38" t="s">
        <v>392</v>
      </c>
      <c r="D38" t="s">
        <v>6</v>
      </c>
      <c r="E38" t="s">
        <v>380</v>
      </c>
      <c r="F38" s="2" t="s">
        <v>3</v>
      </c>
      <c r="G38" s="2">
        <v>0</v>
      </c>
      <c r="H38" s="2">
        <v>5</v>
      </c>
      <c r="I38" t="s">
        <v>388</v>
      </c>
      <c r="J38" t="s">
        <v>432</v>
      </c>
      <c r="K38" t="s">
        <v>475</v>
      </c>
      <c r="L38" t="s">
        <v>557</v>
      </c>
      <c r="N38" t="s">
        <v>561</v>
      </c>
    </row>
    <row r="39" spans="1:14" x14ac:dyDescent="0.25">
      <c r="A39">
        <v>1405</v>
      </c>
      <c r="B39" t="s">
        <v>14</v>
      </c>
      <c r="C39" t="s">
        <v>393</v>
      </c>
      <c r="D39" t="s">
        <v>7</v>
      </c>
      <c r="E39" t="s">
        <v>380</v>
      </c>
      <c r="F39" s="2" t="s">
        <v>3</v>
      </c>
      <c r="G39" s="2">
        <v>0</v>
      </c>
      <c r="H39" s="2">
        <v>4</v>
      </c>
      <c r="I39" t="s">
        <v>388</v>
      </c>
      <c r="J39" t="s">
        <v>432</v>
      </c>
      <c r="K39" t="s">
        <v>476</v>
      </c>
      <c r="L39" t="s">
        <v>557</v>
      </c>
      <c r="N39" t="s">
        <v>561</v>
      </c>
    </row>
    <row r="40" spans="1:14" x14ac:dyDescent="0.25">
      <c r="A40">
        <v>11304</v>
      </c>
      <c r="B40" t="s">
        <v>158</v>
      </c>
      <c r="C40" t="s">
        <v>124</v>
      </c>
      <c r="D40" t="s">
        <v>423</v>
      </c>
      <c r="E40" t="s">
        <v>380</v>
      </c>
      <c r="F40" s="2" t="s">
        <v>3</v>
      </c>
      <c r="G40" s="7">
        <v>44138</v>
      </c>
      <c r="H40" s="2">
        <v>4</v>
      </c>
      <c r="I40" t="s">
        <v>389</v>
      </c>
      <c r="J40" t="s">
        <v>432</v>
      </c>
      <c r="K40" t="s">
        <v>477</v>
      </c>
      <c r="L40" t="s">
        <v>557</v>
      </c>
      <c r="N40" t="s">
        <v>561</v>
      </c>
    </row>
    <row r="41" spans="1:14" x14ac:dyDescent="0.25">
      <c r="A41">
        <v>600056</v>
      </c>
      <c r="B41" t="s">
        <v>336</v>
      </c>
      <c r="C41" t="s">
        <v>369</v>
      </c>
      <c r="D41" t="s">
        <v>423</v>
      </c>
      <c r="E41" t="s">
        <v>380</v>
      </c>
      <c r="F41" s="2" t="s">
        <v>3</v>
      </c>
      <c r="G41" s="7">
        <v>44549</v>
      </c>
      <c r="H41" s="2">
        <v>4</v>
      </c>
      <c r="I41" t="s">
        <v>388</v>
      </c>
      <c r="J41" t="s">
        <v>432</v>
      </c>
      <c r="K41" t="s">
        <v>478</v>
      </c>
      <c r="L41" t="s">
        <v>557</v>
      </c>
      <c r="N41" t="s">
        <v>561</v>
      </c>
    </row>
    <row r="42" spans="1:14" x14ac:dyDescent="0.25">
      <c r="A42">
        <v>5504</v>
      </c>
      <c r="B42" t="s">
        <v>106</v>
      </c>
      <c r="C42" t="s">
        <v>363</v>
      </c>
      <c r="D42" t="s">
        <v>101</v>
      </c>
      <c r="E42" t="s">
        <v>380</v>
      </c>
      <c r="F42" s="2" t="s">
        <v>3</v>
      </c>
      <c r="G42" s="2">
        <v>0</v>
      </c>
      <c r="H42" s="2">
        <v>5</v>
      </c>
      <c r="I42" t="s">
        <v>388</v>
      </c>
      <c r="J42" t="s">
        <v>432</v>
      </c>
      <c r="K42" t="s">
        <v>481</v>
      </c>
      <c r="L42" t="s">
        <v>557</v>
      </c>
      <c r="N42" t="s">
        <v>561</v>
      </c>
    </row>
    <row r="43" spans="1:14" x14ac:dyDescent="0.25">
      <c r="A43">
        <v>54464</v>
      </c>
      <c r="B43" t="s">
        <v>281</v>
      </c>
      <c r="C43" t="s">
        <v>367</v>
      </c>
      <c r="D43" t="s">
        <v>7</v>
      </c>
      <c r="E43" t="s">
        <v>380</v>
      </c>
      <c r="F43" s="2" t="s">
        <v>3</v>
      </c>
      <c r="G43" s="7">
        <v>44221</v>
      </c>
      <c r="H43" s="2">
        <v>4</v>
      </c>
      <c r="I43" t="s">
        <v>388</v>
      </c>
      <c r="J43" t="s">
        <v>432</v>
      </c>
      <c r="K43" t="s">
        <v>482</v>
      </c>
      <c r="L43" t="s">
        <v>557</v>
      </c>
      <c r="N43" t="s">
        <v>561</v>
      </c>
    </row>
    <row r="44" spans="1:14" x14ac:dyDescent="0.25">
      <c r="A44">
        <v>20959</v>
      </c>
      <c r="B44" t="s">
        <v>218</v>
      </c>
      <c r="C44" t="s">
        <v>426</v>
      </c>
      <c r="D44" t="s">
        <v>79</v>
      </c>
      <c r="E44" t="s">
        <v>380</v>
      </c>
      <c r="F44" s="2" t="s">
        <v>3</v>
      </c>
      <c r="G44" s="2">
        <v>0</v>
      </c>
      <c r="H44" s="2">
        <v>8</v>
      </c>
      <c r="I44" t="s">
        <v>388</v>
      </c>
      <c r="J44" t="s">
        <v>432</v>
      </c>
      <c r="K44" t="s">
        <v>484</v>
      </c>
      <c r="L44" t="s">
        <v>557</v>
      </c>
      <c r="N44" t="s">
        <v>561</v>
      </c>
    </row>
    <row r="45" spans="1:14" x14ac:dyDescent="0.25">
      <c r="A45">
        <v>54512</v>
      </c>
      <c r="B45" t="s">
        <v>288</v>
      </c>
      <c r="C45" t="s">
        <v>417</v>
      </c>
      <c r="D45" t="s">
        <v>101</v>
      </c>
      <c r="E45" t="s">
        <v>380</v>
      </c>
      <c r="F45" s="2" t="s">
        <v>3</v>
      </c>
      <c r="G45" s="7">
        <v>44291</v>
      </c>
      <c r="H45" s="2">
        <v>5</v>
      </c>
      <c r="I45" t="s">
        <v>389</v>
      </c>
      <c r="J45" t="s">
        <v>432</v>
      </c>
      <c r="K45" t="s">
        <v>485</v>
      </c>
      <c r="L45" t="s">
        <v>557</v>
      </c>
      <c r="N45" t="s">
        <v>561</v>
      </c>
    </row>
    <row r="46" spans="1:14" x14ac:dyDescent="0.25">
      <c r="A46">
        <v>2921</v>
      </c>
      <c r="B46" t="s">
        <v>87</v>
      </c>
      <c r="C46" t="s">
        <v>419</v>
      </c>
      <c r="D46" t="s">
        <v>79</v>
      </c>
      <c r="E46" t="s">
        <v>380</v>
      </c>
      <c r="F46" s="2" t="s">
        <v>3</v>
      </c>
      <c r="G46" s="7">
        <v>44109</v>
      </c>
      <c r="H46" s="2">
        <v>3</v>
      </c>
      <c r="I46" t="s">
        <v>389</v>
      </c>
      <c r="J46" t="s">
        <v>432</v>
      </c>
      <c r="K46" t="s">
        <v>486</v>
      </c>
      <c r="L46" t="s">
        <v>557</v>
      </c>
      <c r="N46" t="s">
        <v>561</v>
      </c>
    </row>
    <row r="47" spans="1:14" x14ac:dyDescent="0.25">
      <c r="A47">
        <v>19701</v>
      </c>
      <c r="B47" t="s">
        <v>188</v>
      </c>
      <c r="C47" t="s">
        <v>416</v>
      </c>
      <c r="D47" t="s">
        <v>13</v>
      </c>
      <c r="E47" t="s">
        <v>380</v>
      </c>
      <c r="F47" s="2" t="s">
        <v>3</v>
      </c>
      <c r="G47" s="2">
        <v>0</v>
      </c>
      <c r="H47" s="2">
        <v>4</v>
      </c>
      <c r="I47" t="s">
        <v>388</v>
      </c>
      <c r="J47" t="s">
        <v>432</v>
      </c>
      <c r="K47" t="s">
        <v>487</v>
      </c>
      <c r="L47" t="s">
        <v>557</v>
      </c>
      <c r="N47" t="s">
        <v>561</v>
      </c>
    </row>
    <row r="48" spans="1:14" x14ac:dyDescent="0.25">
      <c r="A48">
        <v>54465</v>
      </c>
      <c r="B48" t="s">
        <v>282</v>
      </c>
      <c r="C48" t="s">
        <v>375</v>
      </c>
      <c r="D48" t="s">
        <v>101</v>
      </c>
      <c r="E48" t="s">
        <v>380</v>
      </c>
      <c r="F48" s="2" t="s">
        <v>3</v>
      </c>
      <c r="G48" s="7">
        <v>44214</v>
      </c>
      <c r="H48" s="2">
        <v>4</v>
      </c>
      <c r="I48" t="s">
        <v>389</v>
      </c>
      <c r="J48" t="s">
        <v>432</v>
      </c>
      <c r="K48" t="s">
        <v>488</v>
      </c>
      <c r="L48" t="s">
        <v>557</v>
      </c>
      <c r="N48" t="s">
        <v>561</v>
      </c>
    </row>
    <row r="49" spans="1:14" x14ac:dyDescent="0.25">
      <c r="A49">
        <v>9362</v>
      </c>
      <c r="B49" t="s">
        <v>125</v>
      </c>
      <c r="C49" t="s">
        <v>124</v>
      </c>
      <c r="D49" t="s">
        <v>423</v>
      </c>
      <c r="E49" t="s">
        <v>380</v>
      </c>
      <c r="F49" s="2" t="s">
        <v>3</v>
      </c>
      <c r="G49" s="7">
        <v>44138</v>
      </c>
      <c r="H49" s="2">
        <v>5</v>
      </c>
      <c r="I49" t="s">
        <v>389</v>
      </c>
      <c r="J49" t="s">
        <v>432</v>
      </c>
      <c r="K49" t="s">
        <v>489</v>
      </c>
      <c r="L49" t="s">
        <v>557</v>
      </c>
      <c r="N49" t="s">
        <v>561</v>
      </c>
    </row>
    <row r="50" spans="1:14" x14ac:dyDescent="0.25">
      <c r="A50">
        <v>3817</v>
      </c>
      <c r="B50" t="s">
        <v>94</v>
      </c>
      <c r="C50" t="s">
        <v>367</v>
      </c>
      <c r="D50" t="s">
        <v>7</v>
      </c>
      <c r="E50" t="s">
        <v>380</v>
      </c>
      <c r="F50" s="2" t="s">
        <v>3</v>
      </c>
      <c r="G50" s="2">
        <v>0</v>
      </c>
      <c r="H50" s="2">
        <v>5</v>
      </c>
      <c r="I50" t="s">
        <v>389</v>
      </c>
      <c r="J50" t="s">
        <v>432</v>
      </c>
      <c r="K50" t="s">
        <v>490</v>
      </c>
      <c r="L50" t="s">
        <v>557</v>
      </c>
      <c r="N50" t="s">
        <v>561</v>
      </c>
    </row>
    <row r="51" spans="1:14" x14ac:dyDescent="0.25">
      <c r="A51">
        <v>600047</v>
      </c>
      <c r="B51" t="s">
        <v>332</v>
      </c>
      <c r="C51" t="s">
        <v>369</v>
      </c>
      <c r="D51" t="s">
        <v>423</v>
      </c>
      <c r="E51" t="s">
        <v>380</v>
      </c>
      <c r="F51" s="2" t="s">
        <v>3</v>
      </c>
      <c r="G51" s="7">
        <v>44529</v>
      </c>
      <c r="H51" s="2">
        <v>4</v>
      </c>
      <c r="I51" t="s">
        <v>388</v>
      </c>
      <c r="J51" t="s">
        <v>432</v>
      </c>
      <c r="K51" t="s">
        <v>491</v>
      </c>
      <c r="L51" t="s">
        <v>557</v>
      </c>
      <c r="N51" t="s">
        <v>561</v>
      </c>
    </row>
    <row r="52" spans="1:14" x14ac:dyDescent="0.25">
      <c r="A52">
        <v>22001</v>
      </c>
      <c r="B52" t="s">
        <v>224</v>
      </c>
      <c r="C52" t="s">
        <v>424</v>
      </c>
      <c r="D52" t="s">
        <v>165</v>
      </c>
      <c r="E52" t="s">
        <v>380</v>
      </c>
      <c r="F52" s="2" t="s">
        <v>3</v>
      </c>
      <c r="G52" s="2">
        <v>0</v>
      </c>
      <c r="H52" s="2">
        <v>4</v>
      </c>
      <c r="I52" t="s">
        <v>388</v>
      </c>
      <c r="J52" t="s">
        <v>432</v>
      </c>
      <c r="K52" t="s">
        <v>492</v>
      </c>
      <c r="L52" t="s">
        <v>557</v>
      </c>
      <c r="N52" t="s">
        <v>561</v>
      </c>
    </row>
    <row r="53" spans="1:14" x14ac:dyDescent="0.25">
      <c r="A53">
        <v>23001</v>
      </c>
      <c r="B53" t="s">
        <v>226</v>
      </c>
      <c r="C53" t="s">
        <v>420</v>
      </c>
      <c r="D53" t="s">
        <v>122</v>
      </c>
      <c r="E53" t="s">
        <v>380</v>
      </c>
      <c r="F53" s="2" t="s">
        <v>3</v>
      </c>
      <c r="G53" s="2">
        <v>0</v>
      </c>
      <c r="H53" s="2">
        <v>4</v>
      </c>
      <c r="I53" t="s">
        <v>389</v>
      </c>
      <c r="J53" t="s">
        <v>432</v>
      </c>
      <c r="K53" t="s">
        <v>493</v>
      </c>
      <c r="L53" t="s">
        <v>557</v>
      </c>
      <c r="N53" t="s">
        <v>561</v>
      </c>
    </row>
    <row r="54" spans="1:14" x14ac:dyDescent="0.25">
      <c r="A54">
        <v>54466</v>
      </c>
      <c r="B54" t="s">
        <v>283</v>
      </c>
      <c r="C54" t="s">
        <v>367</v>
      </c>
      <c r="D54" t="s">
        <v>7</v>
      </c>
      <c r="E54" t="s">
        <v>380</v>
      </c>
      <c r="F54" s="2" t="s">
        <v>3</v>
      </c>
      <c r="G54" s="7">
        <v>44214</v>
      </c>
      <c r="H54" s="2">
        <v>5</v>
      </c>
      <c r="I54" t="s">
        <v>388</v>
      </c>
      <c r="J54" t="s">
        <v>432</v>
      </c>
      <c r="K54" t="s">
        <v>494</v>
      </c>
      <c r="L54" t="s">
        <v>557</v>
      </c>
      <c r="N54" t="s">
        <v>561</v>
      </c>
    </row>
    <row r="55" spans="1:14" x14ac:dyDescent="0.25">
      <c r="A55">
        <v>1437</v>
      </c>
      <c r="B55" t="s">
        <v>49</v>
      </c>
      <c r="C55" t="s">
        <v>416</v>
      </c>
      <c r="D55" t="s">
        <v>13</v>
      </c>
      <c r="E55" t="s">
        <v>380</v>
      </c>
      <c r="F55" s="2" t="s">
        <v>3</v>
      </c>
      <c r="G55" s="2">
        <v>0</v>
      </c>
      <c r="H55" s="2">
        <v>5</v>
      </c>
      <c r="I55" t="s">
        <v>388</v>
      </c>
      <c r="J55" t="s">
        <v>432</v>
      </c>
      <c r="K55" t="s">
        <v>496</v>
      </c>
      <c r="L55" t="s">
        <v>557</v>
      </c>
      <c r="N55" t="s">
        <v>561</v>
      </c>
    </row>
    <row r="56" spans="1:14" x14ac:dyDescent="0.25">
      <c r="A56">
        <v>60500</v>
      </c>
      <c r="B56" t="s">
        <v>298</v>
      </c>
      <c r="C56" t="s">
        <v>294</v>
      </c>
      <c r="D56" t="s">
        <v>423</v>
      </c>
      <c r="E56" t="s">
        <v>380</v>
      </c>
      <c r="F56" s="2" t="s">
        <v>3</v>
      </c>
      <c r="G56" s="7">
        <v>44340</v>
      </c>
      <c r="H56" s="2">
        <v>5</v>
      </c>
      <c r="I56" t="s">
        <v>388</v>
      </c>
      <c r="J56" t="s">
        <v>432</v>
      </c>
      <c r="K56" t="s">
        <v>498</v>
      </c>
      <c r="L56" t="s">
        <v>557</v>
      </c>
      <c r="N56" t="s">
        <v>561</v>
      </c>
    </row>
    <row r="57" spans="1:14" x14ac:dyDescent="0.25">
      <c r="A57">
        <v>60507</v>
      </c>
      <c r="B57" t="s">
        <v>306</v>
      </c>
      <c r="C57" t="s">
        <v>294</v>
      </c>
      <c r="D57" t="s">
        <v>423</v>
      </c>
      <c r="E57" t="s">
        <v>380</v>
      </c>
      <c r="F57" s="2" t="s">
        <v>3</v>
      </c>
      <c r="G57" s="2">
        <v>0</v>
      </c>
      <c r="H57" s="2">
        <v>5</v>
      </c>
      <c r="I57" t="s">
        <v>388</v>
      </c>
      <c r="J57" t="s">
        <v>432</v>
      </c>
      <c r="K57" t="s">
        <v>499</v>
      </c>
      <c r="L57" t="s">
        <v>557</v>
      </c>
      <c r="N57" t="s">
        <v>561</v>
      </c>
    </row>
    <row r="58" spans="1:14" x14ac:dyDescent="0.25">
      <c r="A58">
        <v>50550</v>
      </c>
      <c r="B58" t="s">
        <v>263</v>
      </c>
      <c r="C58" t="s">
        <v>362</v>
      </c>
      <c r="D58" t="s">
        <v>101</v>
      </c>
      <c r="E58" t="s">
        <v>380</v>
      </c>
      <c r="F58" s="2" t="s">
        <v>3</v>
      </c>
      <c r="G58" s="2">
        <v>0</v>
      </c>
      <c r="H58" s="2">
        <v>6</v>
      </c>
      <c r="I58" t="s">
        <v>388</v>
      </c>
      <c r="J58" t="s">
        <v>432</v>
      </c>
      <c r="K58" t="s">
        <v>501</v>
      </c>
      <c r="L58" t="s">
        <v>558</v>
      </c>
    </row>
    <row r="59" spans="1:14" x14ac:dyDescent="0.25">
      <c r="A59">
        <v>54471</v>
      </c>
      <c r="B59" t="s">
        <v>287</v>
      </c>
      <c r="C59" t="s">
        <v>367</v>
      </c>
      <c r="D59" t="s">
        <v>7</v>
      </c>
      <c r="E59" t="s">
        <v>380</v>
      </c>
      <c r="F59" s="2" t="s">
        <v>3</v>
      </c>
      <c r="G59" s="7">
        <v>44242</v>
      </c>
      <c r="H59" s="2">
        <v>4</v>
      </c>
      <c r="I59" t="s">
        <v>388</v>
      </c>
      <c r="J59" t="s">
        <v>432</v>
      </c>
      <c r="K59" t="s">
        <v>502</v>
      </c>
      <c r="L59" t="s">
        <v>558</v>
      </c>
    </row>
    <row r="60" spans="1:14" x14ac:dyDescent="0.25">
      <c r="A60">
        <v>31381</v>
      </c>
      <c r="B60" t="s">
        <v>244</v>
      </c>
      <c r="C60" t="s">
        <v>424</v>
      </c>
      <c r="D60" t="s">
        <v>165</v>
      </c>
      <c r="E60" t="s">
        <v>380</v>
      </c>
      <c r="F60" s="2" t="s">
        <v>3</v>
      </c>
      <c r="G60" s="7">
        <v>44298</v>
      </c>
      <c r="H60" s="2">
        <v>3</v>
      </c>
      <c r="I60" t="s">
        <v>388</v>
      </c>
      <c r="J60" t="s">
        <v>432</v>
      </c>
      <c r="K60" t="s">
        <v>503</v>
      </c>
      <c r="L60" t="s">
        <v>558</v>
      </c>
    </row>
    <row r="61" spans="1:14" x14ac:dyDescent="0.25">
      <c r="A61">
        <v>2918</v>
      </c>
      <c r="B61" t="s">
        <v>86</v>
      </c>
      <c r="C61" t="s">
        <v>419</v>
      </c>
      <c r="D61" t="s">
        <v>79</v>
      </c>
      <c r="E61" t="s">
        <v>380</v>
      </c>
      <c r="F61" s="2" t="s">
        <v>3</v>
      </c>
      <c r="G61" s="7">
        <v>44109</v>
      </c>
      <c r="H61" s="2">
        <v>5</v>
      </c>
      <c r="I61" t="s">
        <v>389</v>
      </c>
      <c r="J61" t="s">
        <v>432</v>
      </c>
      <c r="K61" t="s">
        <v>504</v>
      </c>
      <c r="L61" t="s">
        <v>558</v>
      </c>
    </row>
    <row r="62" spans="1:14" x14ac:dyDescent="0.25">
      <c r="A62">
        <v>24009</v>
      </c>
      <c r="B62" t="s">
        <v>228</v>
      </c>
      <c r="C62" t="s">
        <v>424</v>
      </c>
      <c r="D62" t="s">
        <v>165</v>
      </c>
      <c r="E62" t="s">
        <v>380</v>
      </c>
      <c r="F62" s="2" t="s">
        <v>3</v>
      </c>
      <c r="G62" s="2">
        <v>0</v>
      </c>
      <c r="H62" s="2">
        <v>3</v>
      </c>
      <c r="I62" t="s">
        <v>389</v>
      </c>
      <c r="J62" t="s">
        <v>432</v>
      </c>
      <c r="K62" t="s">
        <v>505</v>
      </c>
      <c r="L62" t="s">
        <v>558</v>
      </c>
    </row>
    <row r="63" spans="1:14" x14ac:dyDescent="0.25">
      <c r="A63">
        <v>30110</v>
      </c>
      <c r="B63" t="s">
        <v>229</v>
      </c>
      <c r="C63" t="s">
        <v>426</v>
      </c>
      <c r="D63" t="s">
        <v>79</v>
      </c>
      <c r="E63" t="s">
        <v>380</v>
      </c>
      <c r="F63" s="2" t="s">
        <v>3</v>
      </c>
      <c r="G63" s="2">
        <v>0</v>
      </c>
      <c r="H63" s="2">
        <v>6</v>
      </c>
      <c r="I63" t="s">
        <v>388</v>
      </c>
      <c r="J63" t="s">
        <v>432</v>
      </c>
      <c r="K63" t="s">
        <v>506</v>
      </c>
      <c r="L63" t="s">
        <v>558</v>
      </c>
    </row>
    <row r="64" spans="1:14" x14ac:dyDescent="0.25">
      <c r="A64">
        <v>1478</v>
      </c>
      <c r="B64" t="s">
        <v>65</v>
      </c>
      <c r="C64" t="s">
        <v>67</v>
      </c>
      <c r="D64" t="s">
        <v>7</v>
      </c>
      <c r="E64" t="s">
        <v>380</v>
      </c>
      <c r="F64" s="2" t="s">
        <v>3</v>
      </c>
      <c r="G64" s="2">
        <v>0</v>
      </c>
      <c r="H64" s="2">
        <v>5</v>
      </c>
      <c r="I64" t="s">
        <v>388</v>
      </c>
      <c r="J64" t="s">
        <v>432</v>
      </c>
      <c r="K64" t="s">
        <v>508</v>
      </c>
      <c r="L64" t="s">
        <v>558</v>
      </c>
    </row>
    <row r="65" spans="1:12" x14ac:dyDescent="0.25">
      <c r="A65">
        <v>54444</v>
      </c>
      <c r="B65" t="s">
        <v>280</v>
      </c>
      <c r="C65" t="s">
        <v>375</v>
      </c>
      <c r="D65" t="s">
        <v>101</v>
      </c>
      <c r="E65" t="s">
        <v>380</v>
      </c>
      <c r="F65" s="2" t="s">
        <v>3</v>
      </c>
      <c r="G65" s="7">
        <v>44214</v>
      </c>
      <c r="H65" s="2">
        <v>5</v>
      </c>
      <c r="I65" t="s">
        <v>389</v>
      </c>
      <c r="J65" t="s">
        <v>432</v>
      </c>
      <c r="K65" t="s">
        <v>509</v>
      </c>
      <c r="L65" t="s">
        <v>558</v>
      </c>
    </row>
    <row r="66" spans="1:12" x14ac:dyDescent="0.25">
      <c r="A66">
        <v>31220</v>
      </c>
      <c r="B66" t="s">
        <v>235</v>
      </c>
      <c r="C66" t="s">
        <v>426</v>
      </c>
      <c r="D66" t="s">
        <v>79</v>
      </c>
      <c r="E66" t="s">
        <v>380</v>
      </c>
      <c r="F66" s="2" t="s">
        <v>3</v>
      </c>
      <c r="G66" s="2">
        <v>0</v>
      </c>
      <c r="H66" s="2">
        <v>5</v>
      </c>
      <c r="I66" t="s">
        <v>388</v>
      </c>
      <c r="J66" t="s">
        <v>432</v>
      </c>
      <c r="K66" t="s">
        <v>510</v>
      </c>
      <c r="L66" t="s">
        <v>558</v>
      </c>
    </row>
    <row r="67" spans="1:12" x14ac:dyDescent="0.25">
      <c r="A67">
        <v>1498</v>
      </c>
      <c r="B67" t="s">
        <v>402</v>
      </c>
      <c r="C67" t="s">
        <v>412</v>
      </c>
      <c r="D67" t="s">
        <v>415</v>
      </c>
      <c r="E67" t="s">
        <v>380</v>
      </c>
      <c r="F67" s="2" t="s">
        <v>3</v>
      </c>
      <c r="G67" s="7" t="s">
        <v>413</v>
      </c>
      <c r="H67" s="2" t="s">
        <v>413</v>
      </c>
      <c r="I67" t="s">
        <v>388</v>
      </c>
      <c r="J67" t="s">
        <v>432</v>
      </c>
      <c r="K67" t="s">
        <v>431</v>
      </c>
      <c r="L67" t="s">
        <v>558</v>
      </c>
    </row>
    <row r="68" spans="1:12" x14ac:dyDescent="0.25">
      <c r="A68">
        <v>1493</v>
      </c>
      <c r="B68" t="s">
        <v>403</v>
      </c>
      <c r="C68" t="s">
        <v>412</v>
      </c>
      <c r="D68" t="s">
        <v>415</v>
      </c>
      <c r="E68" t="s">
        <v>380</v>
      </c>
      <c r="F68" s="2" t="s">
        <v>3</v>
      </c>
      <c r="G68" s="7" t="s">
        <v>413</v>
      </c>
      <c r="H68" s="2" t="s">
        <v>413</v>
      </c>
      <c r="I68" t="s">
        <v>388</v>
      </c>
      <c r="J68" t="s">
        <v>432</v>
      </c>
      <c r="K68" t="s">
        <v>431</v>
      </c>
      <c r="L68" t="s">
        <v>558</v>
      </c>
    </row>
    <row r="69" spans="1:12" x14ac:dyDescent="0.25">
      <c r="A69">
        <v>1491</v>
      </c>
      <c r="B69" t="s">
        <v>404</v>
      </c>
      <c r="C69" t="s">
        <v>412</v>
      </c>
      <c r="D69" t="s">
        <v>415</v>
      </c>
      <c r="E69" t="s">
        <v>380</v>
      </c>
      <c r="F69" s="2" t="s">
        <v>3</v>
      </c>
      <c r="G69" s="7" t="s">
        <v>413</v>
      </c>
      <c r="H69" s="2" t="s">
        <v>413</v>
      </c>
      <c r="I69" t="s">
        <v>388</v>
      </c>
      <c r="J69" t="s">
        <v>432</v>
      </c>
      <c r="K69" t="s">
        <v>431</v>
      </c>
      <c r="L69" t="s">
        <v>558</v>
      </c>
    </row>
    <row r="70" spans="1:12" x14ac:dyDescent="0.25">
      <c r="A70">
        <v>1492</v>
      </c>
      <c r="B70" t="s">
        <v>405</v>
      </c>
      <c r="C70" t="s">
        <v>412</v>
      </c>
      <c r="D70" t="s">
        <v>415</v>
      </c>
      <c r="E70" t="s">
        <v>380</v>
      </c>
      <c r="F70" s="2" t="s">
        <v>3</v>
      </c>
      <c r="G70" s="7" t="s">
        <v>413</v>
      </c>
      <c r="H70" s="2" t="s">
        <v>413</v>
      </c>
      <c r="I70" t="s">
        <v>388</v>
      </c>
      <c r="J70" t="s">
        <v>432</v>
      </c>
      <c r="K70" t="s">
        <v>431</v>
      </c>
      <c r="L70" t="s">
        <v>558</v>
      </c>
    </row>
    <row r="71" spans="1:12" x14ac:dyDescent="0.25">
      <c r="A71">
        <v>149400</v>
      </c>
      <c r="B71" t="s">
        <v>406</v>
      </c>
      <c r="C71" t="s">
        <v>412</v>
      </c>
      <c r="D71" t="s">
        <v>415</v>
      </c>
      <c r="E71" t="s">
        <v>380</v>
      </c>
      <c r="F71" s="2" t="s">
        <v>3</v>
      </c>
      <c r="G71" s="7" t="s">
        <v>413</v>
      </c>
      <c r="H71" s="2" t="s">
        <v>413</v>
      </c>
      <c r="I71" t="s">
        <v>388</v>
      </c>
      <c r="J71" t="s">
        <v>432</v>
      </c>
      <c r="K71" t="s">
        <v>431</v>
      </c>
      <c r="L71" t="s">
        <v>558</v>
      </c>
    </row>
    <row r="72" spans="1:12" x14ac:dyDescent="0.25">
      <c r="A72">
        <v>149800</v>
      </c>
      <c r="B72" t="s">
        <v>407</v>
      </c>
      <c r="C72" t="s">
        <v>412</v>
      </c>
      <c r="D72" t="s">
        <v>415</v>
      </c>
      <c r="E72" t="s">
        <v>380</v>
      </c>
      <c r="F72" s="2" t="s">
        <v>3</v>
      </c>
      <c r="G72" s="7" t="s">
        <v>413</v>
      </c>
      <c r="H72" s="2" t="s">
        <v>413</v>
      </c>
      <c r="I72" t="s">
        <v>388</v>
      </c>
      <c r="J72" t="s">
        <v>432</v>
      </c>
      <c r="K72" t="s">
        <v>431</v>
      </c>
      <c r="L72" t="s">
        <v>558</v>
      </c>
    </row>
    <row r="73" spans="1:12" x14ac:dyDescent="0.25">
      <c r="A73">
        <v>149700</v>
      </c>
      <c r="B73" t="s">
        <v>408</v>
      </c>
      <c r="C73" t="s">
        <v>412</v>
      </c>
      <c r="D73" t="s">
        <v>415</v>
      </c>
      <c r="E73" t="s">
        <v>380</v>
      </c>
      <c r="F73" s="2" t="s">
        <v>3</v>
      </c>
      <c r="G73" s="7" t="s">
        <v>413</v>
      </c>
      <c r="H73" s="2" t="s">
        <v>413</v>
      </c>
      <c r="I73" t="s">
        <v>388</v>
      </c>
      <c r="J73" t="s">
        <v>432</v>
      </c>
      <c r="K73" t="s">
        <v>431</v>
      </c>
      <c r="L73" t="s">
        <v>558</v>
      </c>
    </row>
    <row r="74" spans="1:12" x14ac:dyDescent="0.25">
      <c r="A74">
        <v>1495</v>
      </c>
      <c r="B74" t="s">
        <v>409</v>
      </c>
      <c r="C74" t="s">
        <v>412</v>
      </c>
      <c r="D74" t="s">
        <v>415</v>
      </c>
      <c r="E74" t="s">
        <v>380</v>
      </c>
      <c r="F74" s="2" t="s">
        <v>3</v>
      </c>
      <c r="G74" s="7" t="s">
        <v>413</v>
      </c>
      <c r="H74" s="2" t="s">
        <v>413</v>
      </c>
      <c r="I74" t="s">
        <v>388</v>
      </c>
      <c r="J74" t="s">
        <v>432</v>
      </c>
      <c r="K74" t="s">
        <v>431</v>
      </c>
      <c r="L74" t="s">
        <v>558</v>
      </c>
    </row>
    <row r="75" spans="1:12" x14ac:dyDescent="0.25">
      <c r="A75">
        <v>149600</v>
      </c>
      <c r="B75" t="s">
        <v>410</v>
      </c>
      <c r="C75" t="s">
        <v>412</v>
      </c>
      <c r="D75" t="s">
        <v>415</v>
      </c>
      <c r="E75" t="s">
        <v>380</v>
      </c>
      <c r="F75" s="2" t="s">
        <v>3</v>
      </c>
      <c r="G75" s="7" t="s">
        <v>413</v>
      </c>
      <c r="H75" s="2" t="s">
        <v>413</v>
      </c>
      <c r="I75" t="s">
        <v>388</v>
      </c>
      <c r="J75" t="s">
        <v>432</v>
      </c>
      <c r="K75" t="s">
        <v>431</v>
      </c>
      <c r="L75" t="s">
        <v>558</v>
      </c>
    </row>
    <row r="76" spans="1:12" x14ac:dyDescent="0.25">
      <c r="A76">
        <v>1499</v>
      </c>
      <c r="B76" t="s">
        <v>411</v>
      </c>
      <c r="C76" t="s">
        <v>412</v>
      </c>
      <c r="D76" t="s">
        <v>415</v>
      </c>
      <c r="E76" t="s">
        <v>380</v>
      </c>
      <c r="F76" s="2" t="s">
        <v>3</v>
      </c>
      <c r="G76" s="7" t="s">
        <v>413</v>
      </c>
      <c r="H76" s="2" t="s">
        <v>413</v>
      </c>
      <c r="I76" t="s">
        <v>388</v>
      </c>
      <c r="J76" t="s">
        <v>432</v>
      </c>
      <c r="K76" t="s">
        <v>431</v>
      </c>
      <c r="L76" t="s">
        <v>558</v>
      </c>
    </row>
    <row r="77" spans="1:12" x14ac:dyDescent="0.25">
      <c r="A77">
        <v>149500</v>
      </c>
      <c r="B77" t="s">
        <v>422</v>
      </c>
      <c r="C77" t="s">
        <v>412</v>
      </c>
      <c r="D77" t="s">
        <v>415</v>
      </c>
      <c r="E77" t="s">
        <v>380</v>
      </c>
      <c r="F77" s="2" t="s">
        <v>3</v>
      </c>
      <c r="G77" s="7" t="s">
        <v>413</v>
      </c>
      <c r="H77" s="2" t="s">
        <v>413</v>
      </c>
      <c r="I77" t="s">
        <v>388</v>
      </c>
      <c r="J77" t="s">
        <v>432</v>
      </c>
      <c r="K77" t="s">
        <v>431</v>
      </c>
      <c r="L77" t="s">
        <v>558</v>
      </c>
    </row>
    <row r="78" spans="1:12" x14ac:dyDescent="0.25">
      <c r="A78">
        <v>5503</v>
      </c>
      <c r="B78" t="s">
        <v>104</v>
      </c>
      <c r="C78" t="s">
        <v>362</v>
      </c>
      <c r="D78" t="s">
        <v>101</v>
      </c>
      <c r="E78" t="s">
        <v>380</v>
      </c>
      <c r="F78" s="2" t="s">
        <v>3</v>
      </c>
      <c r="G78" s="2">
        <v>0</v>
      </c>
      <c r="H78" s="2">
        <v>5</v>
      </c>
      <c r="I78" t="s">
        <v>388</v>
      </c>
      <c r="J78" t="s">
        <v>432</v>
      </c>
      <c r="K78" t="s">
        <v>511</v>
      </c>
      <c r="L78" t="s">
        <v>558</v>
      </c>
    </row>
    <row r="79" spans="1:12" x14ac:dyDescent="0.25">
      <c r="A79">
        <v>60498</v>
      </c>
      <c r="B79" t="s">
        <v>297</v>
      </c>
      <c r="C79" t="s">
        <v>369</v>
      </c>
      <c r="D79" t="s">
        <v>423</v>
      </c>
      <c r="E79" t="s">
        <v>380</v>
      </c>
      <c r="F79" s="2" t="s">
        <v>3</v>
      </c>
      <c r="G79" s="7">
        <v>44298</v>
      </c>
      <c r="H79" s="2">
        <v>4</v>
      </c>
      <c r="I79" t="s">
        <v>388</v>
      </c>
      <c r="J79" t="s">
        <v>432</v>
      </c>
      <c r="K79" t="s">
        <v>513</v>
      </c>
      <c r="L79" t="s">
        <v>558</v>
      </c>
    </row>
    <row r="80" spans="1:12" x14ac:dyDescent="0.25">
      <c r="A80">
        <v>50499</v>
      </c>
      <c r="B80" t="s">
        <v>261</v>
      </c>
      <c r="C80" t="s">
        <v>375</v>
      </c>
      <c r="D80" t="s">
        <v>101</v>
      </c>
      <c r="E80" t="s">
        <v>380</v>
      </c>
      <c r="F80" s="2" t="s">
        <v>3</v>
      </c>
      <c r="G80" s="2">
        <v>0</v>
      </c>
      <c r="H80" s="2">
        <v>8</v>
      </c>
      <c r="I80" t="s">
        <v>389</v>
      </c>
      <c r="J80" t="s">
        <v>432</v>
      </c>
      <c r="K80" t="s">
        <v>514</v>
      </c>
      <c r="L80" t="s">
        <v>558</v>
      </c>
    </row>
    <row r="81" spans="1:12" x14ac:dyDescent="0.25">
      <c r="A81">
        <v>54467</v>
      </c>
      <c r="B81" t="s">
        <v>284</v>
      </c>
      <c r="C81" t="s">
        <v>375</v>
      </c>
      <c r="D81" t="s">
        <v>101</v>
      </c>
      <c r="E81" t="s">
        <v>380</v>
      </c>
      <c r="F81" s="2" t="s">
        <v>3</v>
      </c>
      <c r="G81" s="7">
        <v>44214</v>
      </c>
      <c r="H81" s="2">
        <v>5</v>
      </c>
      <c r="I81" t="s">
        <v>389</v>
      </c>
      <c r="J81" t="s">
        <v>432</v>
      </c>
      <c r="K81" t="s">
        <v>515</v>
      </c>
      <c r="L81" t="s">
        <v>558</v>
      </c>
    </row>
    <row r="82" spans="1:12" x14ac:dyDescent="0.25">
      <c r="A82">
        <v>10200</v>
      </c>
      <c r="B82" t="s">
        <v>131</v>
      </c>
      <c r="C82" t="s">
        <v>67</v>
      </c>
      <c r="D82" t="s">
        <v>7</v>
      </c>
      <c r="E82" t="s">
        <v>380</v>
      </c>
      <c r="F82" s="2" t="s">
        <v>3</v>
      </c>
      <c r="G82" s="2">
        <v>0</v>
      </c>
      <c r="H82" s="2">
        <v>3</v>
      </c>
      <c r="I82" t="s">
        <v>388</v>
      </c>
      <c r="J82" t="s">
        <v>432</v>
      </c>
      <c r="K82" t="s">
        <v>517</v>
      </c>
      <c r="L82" t="s">
        <v>558</v>
      </c>
    </row>
    <row r="83" spans="1:12" x14ac:dyDescent="0.25">
      <c r="A83">
        <v>10332</v>
      </c>
      <c r="B83" t="s">
        <v>140</v>
      </c>
      <c r="C83" t="s">
        <v>419</v>
      </c>
      <c r="D83" t="s">
        <v>79</v>
      </c>
      <c r="E83" t="s">
        <v>380</v>
      </c>
      <c r="F83" s="2" t="s">
        <v>3</v>
      </c>
      <c r="G83" s="7">
        <v>44075</v>
      </c>
      <c r="H83" s="2">
        <v>3</v>
      </c>
      <c r="I83" t="s">
        <v>389</v>
      </c>
      <c r="J83" t="s">
        <v>432</v>
      </c>
      <c r="K83" t="s">
        <v>518</v>
      </c>
      <c r="L83" t="s">
        <v>558</v>
      </c>
    </row>
    <row r="84" spans="1:12" x14ac:dyDescent="0.25">
      <c r="A84">
        <v>19880</v>
      </c>
      <c r="B84" t="s">
        <v>206</v>
      </c>
      <c r="C84" t="s">
        <v>416</v>
      </c>
      <c r="D84" t="s">
        <v>13</v>
      </c>
      <c r="E84" t="s">
        <v>380</v>
      </c>
      <c r="F84" s="2" t="s">
        <v>3</v>
      </c>
      <c r="G84" s="2">
        <v>0</v>
      </c>
      <c r="H84" s="2">
        <v>4</v>
      </c>
      <c r="I84" t="s">
        <v>388</v>
      </c>
      <c r="J84" t="s">
        <v>432</v>
      </c>
      <c r="K84" t="s">
        <v>520</v>
      </c>
      <c r="L84" t="s">
        <v>558</v>
      </c>
    </row>
    <row r="85" spans="1:12" x14ac:dyDescent="0.25">
      <c r="A85">
        <v>45018</v>
      </c>
      <c r="B85" t="s">
        <v>256</v>
      </c>
      <c r="C85" t="s">
        <v>373</v>
      </c>
      <c r="D85" t="s">
        <v>13</v>
      </c>
      <c r="E85" t="s">
        <v>380</v>
      </c>
      <c r="F85" s="2" t="s">
        <v>3</v>
      </c>
      <c r="G85" s="2">
        <v>0</v>
      </c>
      <c r="H85" s="2">
        <v>5</v>
      </c>
      <c r="I85" t="s">
        <v>388</v>
      </c>
      <c r="J85" t="s">
        <v>432</v>
      </c>
      <c r="K85" t="s">
        <v>521</v>
      </c>
      <c r="L85" t="s">
        <v>558</v>
      </c>
    </row>
    <row r="86" spans="1:12" x14ac:dyDescent="0.25">
      <c r="A86">
        <v>1449</v>
      </c>
      <c r="B86" t="s">
        <v>57</v>
      </c>
      <c r="C86" t="s">
        <v>366</v>
      </c>
      <c r="D86" t="s">
        <v>18</v>
      </c>
      <c r="E86" t="s">
        <v>380</v>
      </c>
      <c r="F86" s="2" t="s">
        <v>3</v>
      </c>
      <c r="G86" s="2">
        <v>0</v>
      </c>
      <c r="H86" s="2">
        <v>6</v>
      </c>
      <c r="I86" t="s">
        <v>388</v>
      </c>
      <c r="J86" t="s">
        <v>432</v>
      </c>
      <c r="K86" t="s">
        <v>522</v>
      </c>
      <c r="L86" t="s">
        <v>558</v>
      </c>
    </row>
    <row r="87" spans="1:12" x14ac:dyDescent="0.25">
      <c r="A87">
        <v>10650</v>
      </c>
      <c r="B87" t="s">
        <v>152</v>
      </c>
      <c r="C87" t="s">
        <v>418</v>
      </c>
      <c r="D87" t="s">
        <v>18</v>
      </c>
      <c r="E87" t="s">
        <v>380</v>
      </c>
      <c r="F87" s="2" t="s">
        <v>3</v>
      </c>
      <c r="G87" s="2">
        <v>0</v>
      </c>
      <c r="H87" s="2">
        <v>5</v>
      </c>
      <c r="I87" t="s">
        <v>388</v>
      </c>
      <c r="J87" t="s">
        <v>432</v>
      </c>
      <c r="K87" t="s">
        <v>523</v>
      </c>
      <c r="L87" t="s">
        <v>558</v>
      </c>
    </row>
    <row r="88" spans="1:12" x14ac:dyDescent="0.25">
      <c r="A88">
        <v>19709</v>
      </c>
      <c r="B88" t="s">
        <v>194</v>
      </c>
      <c r="C88" t="s">
        <v>418</v>
      </c>
      <c r="D88" t="s">
        <v>18</v>
      </c>
      <c r="E88" t="s">
        <v>380</v>
      </c>
      <c r="F88" s="2" t="s">
        <v>3</v>
      </c>
      <c r="G88" s="2">
        <v>0</v>
      </c>
      <c r="H88" s="2">
        <v>5</v>
      </c>
      <c r="I88" t="s">
        <v>388</v>
      </c>
      <c r="J88" t="s">
        <v>432</v>
      </c>
      <c r="K88" t="s">
        <v>524</v>
      </c>
      <c r="L88" t="s">
        <v>558</v>
      </c>
    </row>
    <row r="89" spans="1:12" x14ac:dyDescent="0.25">
      <c r="A89">
        <v>50731</v>
      </c>
      <c r="B89" t="s">
        <v>267</v>
      </c>
      <c r="C89" t="s">
        <v>362</v>
      </c>
      <c r="D89" t="s">
        <v>101</v>
      </c>
      <c r="E89" t="s">
        <v>380</v>
      </c>
      <c r="F89" s="2" t="s">
        <v>3</v>
      </c>
      <c r="G89" s="2">
        <v>0</v>
      </c>
      <c r="H89" s="2">
        <v>6</v>
      </c>
      <c r="I89" t="s">
        <v>388</v>
      </c>
      <c r="J89" t="s">
        <v>432</v>
      </c>
      <c r="K89" t="s">
        <v>525</v>
      </c>
      <c r="L89" t="s">
        <v>558</v>
      </c>
    </row>
    <row r="90" spans="1:12" x14ac:dyDescent="0.25">
      <c r="A90">
        <v>10897</v>
      </c>
      <c r="B90" t="s">
        <v>156</v>
      </c>
      <c r="C90" t="s">
        <v>366</v>
      </c>
      <c r="D90" t="s">
        <v>18</v>
      </c>
      <c r="E90" t="s">
        <v>380</v>
      </c>
      <c r="F90" s="2" t="s">
        <v>3</v>
      </c>
      <c r="G90" s="2">
        <v>0</v>
      </c>
      <c r="H90" s="2">
        <v>4</v>
      </c>
      <c r="I90" t="s">
        <v>388</v>
      </c>
      <c r="J90" t="s">
        <v>432</v>
      </c>
      <c r="K90" t="s">
        <v>526</v>
      </c>
      <c r="L90" t="s">
        <v>558</v>
      </c>
    </row>
    <row r="91" spans="1:12" x14ac:dyDescent="0.25">
      <c r="A91">
        <v>54468</v>
      </c>
      <c r="B91" t="s">
        <v>285</v>
      </c>
      <c r="C91" t="s">
        <v>375</v>
      </c>
      <c r="D91" t="s">
        <v>101</v>
      </c>
      <c r="E91" t="s">
        <v>380</v>
      </c>
      <c r="F91" s="2" t="s">
        <v>3</v>
      </c>
      <c r="G91" s="7">
        <v>44228</v>
      </c>
      <c r="H91" s="2">
        <v>4</v>
      </c>
      <c r="I91" t="s">
        <v>389</v>
      </c>
      <c r="J91" t="s">
        <v>432</v>
      </c>
      <c r="K91" t="s">
        <v>527</v>
      </c>
      <c r="L91" t="s">
        <v>558</v>
      </c>
    </row>
    <row r="92" spans="1:12" x14ac:dyDescent="0.25">
      <c r="A92">
        <v>10330</v>
      </c>
      <c r="B92" t="s">
        <v>136</v>
      </c>
      <c r="C92" t="s">
        <v>366</v>
      </c>
      <c r="D92" t="s">
        <v>18</v>
      </c>
      <c r="E92" t="s">
        <v>380</v>
      </c>
      <c r="F92" s="2" t="s">
        <v>3</v>
      </c>
      <c r="G92" s="7">
        <v>44095</v>
      </c>
      <c r="H92" s="2">
        <v>3</v>
      </c>
      <c r="I92" t="s">
        <v>388</v>
      </c>
      <c r="J92" t="s">
        <v>432</v>
      </c>
      <c r="K92" t="s">
        <v>528</v>
      </c>
      <c r="L92" t="s">
        <v>558</v>
      </c>
    </row>
    <row r="93" spans="1:12" x14ac:dyDescent="0.25">
      <c r="A93">
        <v>2945</v>
      </c>
      <c r="B93" t="s">
        <v>88</v>
      </c>
      <c r="C93" t="s">
        <v>419</v>
      </c>
      <c r="D93" t="s">
        <v>79</v>
      </c>
      <c r="E93" t="s">
        <v>380</v>
      </c>
      <c r="F93" s="2" t="s">
        <v>3</v>
      </c>
      <c r="G93" s="2">
        <v>0</v>
      </c>
      <c r="H93" s="2">
        <v>3</v>
      </c>
      <c r="I93" t="s">
        <v>389</v>
      </c>
      <c r="J93" t="s">
        <v>432</v>
      </c>
      <c r="K93" t="s">
        <v>529</v>
      </c>
      <c r="L93" t="s">
        <v>558</v>
      </c>
    </row>
    <row r="94" spans="1:12" x14ac:dyDescent="0.25">
      <c r="A94">
        <v>31388</v>
      </c>
      <c r="B94" t="s">
        <v>247</v>
      </c>
      <c r="C94" t="s">
        <v>424</v>
      </c>
      <c r="D94" t="s">
        <v>165</v>
      </c>
      <c r="E94" t="s">
        <v>380</v>
      </c>
      <c r="F94" s="2" t="s">
        <v>3</v>
      </c>
      <c r="G94" s="7">
        <v>44319</v>
      </c>
      <c r="H94" s="2">
        <v>4</v>
      </c>
      <c r="I94" t="s">
        <v>388</v>
      </c>
      <c r="J94" t="s">
        <v>432</v>
      </c>
      <c r="K94" t="s">
        <v>530</v>
      </c>
      <c r="L94" t="s">
        <v>558</v>
      </c>
    </row>
    <row r="95" spans="1:12" x14ac:dyDescent="0.25">
      <c r="A95">
        <v>50590</v>
      </c>
      <c r="B95" t="s">
        <v>265</v>
      </c>
      <c r="C95" t="s">
        <v>375</v>
      </c>
      <c r="D95" t="s">
        <v>101</v>
      </c>
      <c r="E95" t="s">
        <v>380</v>
      </c>
      <c r="F95" s="2" t="s">
        <v>3</v>
      </c>
      <c r="G95" s="2">
        <v>0</v>
      </c>
      <c r="H95" s="2">
        <v>4</v>
      </c>
      <c r="I95" t="s">
        <v>389</v>
      </c>
      <c r="J95" t="s">
        <v>432</v>
      </c>
      <c r="K95" t="s">
        <v>531</v>
      </c>
      <c r="L95" t="s">
        <v>558</v>
      </c>
    </row>
    <row r="96" spans="1:12" x14ac:dyDescent="0.25">
      <c r="A96">
        <v>50733</v>
      </c>
      <c r="B96" t="s">
        <v>269</v>
      </c>
      <c r="C96" t="s">
        <v>369</v>
      </c>
      <c r="D96" t="s">
        <v>423</v>
      </c>
      <c r="E96" t="s">
        <v>380</v>
      </c>
      <c r="F96" s="2" t="s">
        <v>3</v>
      </c>
      <c r="G96" s="2">
        <v>0</v>
      </c>
      <c r="H96" s="2">
        <v>4</v>
      </c>
      <c r="I96" t="s">
        <v>388</v>
      </c>
      <c r="J96" t="s">
        <v>432</v>
      </c>
      <c r="K96" t="s">
        <v>532</v>
      </c>
      <c r="L96" t="s">
        <v>558</v>
      </c>
    </row>
    <row r="97" spans="1:12" x14ac:dyDescent="0.25">
      <c r="A97">
        <v>31175</v>
      </c>
      <c r="B97" t="s">
        <v>233</v>
      </c>
      <c r="C97" t="s">
        <v>426</v>
      </c>
      <c r="D97" t="s">
        <v>79</v>
      </c>
      <c r="E97" t="s">
        <v>380</v>
      </c>
      <c r="F97" s="2" t="s">
        <v>3</v>
      </c>
      <c r="G97" s="2">
        <v>0</v>
      </c>
      <c r="H97" s="2">
        <v>4</v>
      </c>
      <c r="I97" t="s">
        <v>388</v>
      </c>
      <c r="J97" t="s">
        <v>432</v>
      </c>
      <c r="K97" t="s">
        <v>533</v>
      </c>
      <c r="L97" t="s">
        <v>558</v>
      </c>
    </row>
    <row r="98" spans="1:12" x14ac:dyDescent="0.25">
      <c r="A98">
        <v>1490</v>
      </c>
      <c r="B98" t="s">
        <v>72</v>
      </c>
      <c r="C98" t="s">
        <v>67</v>
      </c>
      <c r="D98" t="s">
        <v>7</v>
      </c>
      <c r="E98" t="s">
        <v>380</v>
      </c>
      <c r="F98" s="2" t="s">
        <v>3</v>
      </c>
      <c r="G98" s="2">
        <v>0</v>
      </c>
      <c r="H98" s="2">
        <v>3</v>
      </c>
      <c r="I98" t="s">
        <v>388</v>
      </c>
      <c r="J98" t="s">
        <v>432</v>
      </c>
      <c r="K98" t="s">
        <v>535</v>
      </c>
      <c r="L98" t="s">
        <v>558</v>
      </c>
    </row>
    <row r="99" spans="1:12" x14ac:dyDescent="0.25">
      <c r="A99">
        <v>50400</v>
      </c>
      <c r="B99" t="s">
        <v>259</v>
      </c>
      <c r="C99" t="s">
        <v>362</v>
      </c>
      <c r="D99" t="s">
        <v>101</v>
      </c>
      <c r="E99" t="s">
        <v>380</v>
      </c>
      <c r="F99" s="2" t="s">
        <v>3</v>
      </c>
      <c r="G99" s="2">
        <v>0</v>
      </c>
      <c r="H99" s="2">
        <v>7</v>
      </c>
      <c r="I99" t="s">
        <v>388</v>
      </c>
      <c r="J99" t="s">
        <v>432</v>
      </c>
      <c r="K99" t="s">
        <v>538</v>
      </c>
      <c r="L99" t="s">
        <v>558</v>
      </c>
    </row>
    <row r="100" spans="1:12" x14ac:dyDescent="0.25">
      <c r="A100">
        <v>1403</v>
      </c>
      <c r="B100" t="s">
        <v>11</v>
      </c>
      <c r="C100" t="s">
        <v>391</v>
      </c>
      <c r="D100" t="s">
        <v>7</v>
      </c>
      <c r="E100" t="s">
        <v>380</v>
      </c>
      <c r="F100" s="2" t="s">
        <v>3</v>
      </c>
      <c r="G100" s="2">
        <v>0</v>
      </c>
      <c r="H100" s="2">
        <v>5</v>
      </c>
      <c r="I100" t="s">
        <v>388</v>
      </c>
      <c r="J100" t="s">
        <v>432</v>
      </c>
      <c r="K100" t="s">
        <v>539</v>
      </c>
      <c r="L100" t="s">
        <v>558</v>
      </c>
    </row>
    <row r="101" spans="1:12" x14ac:dyDescent="0.25">
      <c r="A101">
        <v>9360</v>
      </c>
      <c r="B101" t="s">
        <v>123</v>
      </c>
      <c r="C101" t="s">
        <v>124</v>
      </c>
      <c r="D101" t="s">
        <v>423</v>
      </c>
      <c r="E101" t="s">
        <v>380</v>
      </c>
      <c r="F101" s="2" t="s">
        <v>3</v>
      </c>
      <c r="G101" s="7">
        <v>44138</v>
      </c>
      <c r="H101" s="2">
        <v>6</v>
      </c>
      <c r="I101" t="s">
        <v>389</v>
      </c>
      <c r="J101" t="s">
        <v>432</v>
      </c>
      <c r="K101" t="s">
        <v>541</v>
      </c>
      <c r="L101" t="s">
        <v>558</v>
      </c>
    </row>
    <row r="102" spans="1:12" x14ac:dyDescent="0.25">
      <c r="A102">
        <v>50850</v>
      </c>
      <c r="B102" t="s">
        <v>274</v>
      </c>
      <c r="C102" t="s">
        <v>375</v>
      </c>
      <c r="D102" t="s">
        <v>101</v>
      </c>
      <c r="E102" t="s">
        <v>380</v>
      </c>
      <c r="F102" s="2" t="s">
        <v>3</v>
      </c>
      <c r="G102" s="2">
        <v>0</v>
      </c>
      <c r="H102" s="2">
        <v>5</v>
      </c>
      <c r="I102" t="s">
        <v>389</v>
      </c>
      <c r="J102" t="s">
        <v>432</v>
      </c>
      <c r="K102" t="s">
        <v>542</v>
      </c>
      <c r="L102" t="s">
        <v>558</v>
      </c>
    </row>
    <row r="103" spans="1:12" x14ac:dyDescent="0.25">
      <c r="A103">
        <v>600064</v>
      </c>
      <c r="B103" t="s">
        <v>340</v>
      </c>
      <c r="C103" t="s">
        <v>363</v>
      </c>
      <c r="D103" t="s">
        <v>101</v>
      </c>
      <c r="E103" t="s">
        <v>380</v>
      </c>
      <c r="F103" s="2" t="s">
        <v>3</v>
      </c>
      <c r="G103" s="7">
        <v>44544</v>
      </c>
      <c r="H103" s="2">
        <v>5</v>
      </c>
      <c r="I103" t="s">
        <v>388</v>
      </c>
      <c r="J103" t="s">
        <v>432</v>
      </c>
      <c r="K103" t="s">
        <v>543</v>
      </c>
      <c r="L103" t="s">
        <v>558</v>
      </c>
    </row>
    <row r="104" spans="1:12" x14ac:dyDescent="0.25">
      <c r="A104">
        <v>1420</v>
      </c>
      <c r="B104" t="s">
        <v>30</v>
      </c>
      <c r="C104" t="s">
        <v>391</v>
      </c>
      <c r="D104" t="s">
        <v>7</v>
      </c>
      <c r="E104" t="s">
        <v>380</v>
      </c>
      <c r="F104" s="2" t="s">
        <v>3</v>
      </c>
      <c r="G104" s="2">
        <v>0</v>
      </c>
      <c r="H104" s="2">
        <v>5</v>
      </c>
      <c r="I104" t="s">
        <v>388</v>
      </c>
      <c r="J104" t="s">
        <v>432</v>
      </c>
      <c r="K104" t="s">
        <v>544</v>
      </c>
      <c r="L104" t="s">
        <v>558</v>
      </c>
    </row>
    <row r="105" spans="1:12" x14ac:dyDescent="0.25">
      <c r="A105">
        <v>600057</v>
      </c>
      <c r="B105" t="s">
        <v>338</v>
      </c>
      <c r="C105" t="s">
        <v>369</v>
      </c>
      <c r="D105" t="s">
        <v>423</v>
      </c>
      <c r="E105" t="s">
        <v>380</v>
      </c>
      <c r="F105" s="2" t="s">
        <v>3</v>
      </c>
      <c r="G105" s="2">
        <v>0</v>
      </c>
      <c r="H105" s="8">
        <v>4</v>
      </c>
      <c r="I105" t="s">
        <v>388</v>
      </c>
      <c r="J105" t="s">
        <v>432</v>
      </c>
      <c r="K105" t="s">
        <v>545</v>
      </c>
      <c r="L105" t="s">
        <v>558</v>
      </c>
    </row>
    <row r="106" spans="1:12" x14ac:dyDescent="0.25">
      <c r="A106">
        <v>31353</v>
      </c>
      <c r="B106" t="s">
        <v>240</v>
      </c>
      <c r="C106" t="s">
        <v>370</v>
      </c>
      <c r="D106" t="s">
        <v>6</v>
      </c>
      <c r="E106" t="s">
        <v>380</v>
      </c>
      <c r="F106" s="2" t="s">
        <v>3</v>
      </c>
      <c r="G106" s="7">
        <v>44095</v>
      </c>
      <c r="H106" s="2">
        <v>5</v>
      </c>
      <c r="I106" t="s">
        <v>389</v>
      </c>
      <c r="J106" t="s">
        <v>432</v>
      </c>
      <c r="K106" t="s">
        <v>547</v>
      </c>
      <c r="L106" t="s">
        <v>558</v>
      </c>
    </row>
    <row r="107" spans="1:12" x14ac:dyDescent="0.25">
      <c r="A107">
        <v>20989</v>
      </c>
      <c r="B107" t="s">
        <v>220</v>
      </c>
      <c r="C107" t="s">
        <v>419</v>
      </c>
      <c r="D107" t="s">
        <v>79</v>
      </c>
      <c r="E107" t="s">
        <v>380</v>
      </c>
      <c r="F107" s="2" t="s">
        <v>3</v>
      </c>
      <c r="G107" s="2">
        <v>0</v>
      </c>
      <c r="H107" s="2">
        <v>5</v>
      </c>
      <c r="I107" t="s">
        <v>389</v>
      </c>
      <c r="J107" t="s">
        <v>432</v>
      </c>
      <c r="K107" t="s">
        <v>548</v>
      </c>
      <c r="L107" t="s">
        <v>558</v>
      </c>
    </row>
    <row r="108" spans="1:12" x14ac:dyDescent="0.25">
      <c r="A108">
        <v>200020</v>
      </c>
      <c r="B108" t="s">
        <v>320</v>
      </c>
      <c r="C108" t="s">
        <v>370</v>
      </c>
      <c r="D108" t="s">
        <v>6</v>
      </c>
      <c r="E108" t="s">
        <v>380</v>
      </c>
      <c r="F108" s="2" t="s">
        <v>3</v>
      </c>
      <c r="G108" s="7">
        <v>44523</v>
      </c>
      <c r="H108" s="2">
        <v>4</v>
      </c>
      <c r="I108" t="s">
        <v>389</v>
      </c>
      <c r="J108" t="s">
        <v>432</v>
      </c>
      <c r="K108" t="s">
        <v>549</v>
      </c>
      <c r="L108" t="s">
        <v>558</v>
      </c>
    </row>
    <row r="109" spans="1:12" x14ac:dyDescent="0.25">
      <c r="A109">
        <v>1485</v>
      </c>
      <c r="B109" t="s">
        <v>68</v>
      </c>
      <c r="C109" t="s">
        <v>366</v>
      </c>
      <c r="D109" t="s">
        <v>18</v>
      </c>
      <c r="E109" t="s">
        <v>380</v>
      </c>
      <c r="F109" s="2" t="s">
        <v>3</v>
      </c>
      <c r="G109" s="2">
        <v>0</v>
      </c>
      <c r="H109" s="2">
        <v>5</v>
      </c>
      <c r="I109" t="s">
        <v>388</v>
      </c>
      <c r="J109" t="s">
        <v>432</v>
      </c>
      <c r="K109" t="s">
        <v>550</v>
      </c>
      <c r="L109" t="s">
        <v>558</v>
      </c>
    </row>
    <row r="110" spans="1:12" x14ac:dyDescent="0.25">
      <c r="A110">
        <v>19705</v>
      </c>
      <c r="B110" t="s">
        <v>190</v>
      </c>
      <c r="C110" t="s">
        <v>416</v>
      </c>
      <c r="D110" t="s">
        <v>13</v>
      </c>
      <c r="E110" t="s">
        <v>380</v>
      </c>
      <c r="F110" s="2" t="s">
        <v>3</v>
      </c>
      <c r="G110" s="2">
        <v>0</v>
      </c>
      <c r="H110" s="2">
        <v>3</v>
      </c>
      <c r="I110" t="s">
        <v>388</v>
      </c>
      <c r="J110" t="s">
        <v>432</v>
      </c>
      <c r="K110" t="s">
        <v>551</v>
      </c>
      <c r="L110" t="s">
        <v>558</v>
      </c>
    </row>
    <row r="111" spans="1:12" x14ac:dyDescent="0.25">
      <c r="A111">
        <v>1414</v>
      </c>
      <c r="B111" t="s">
        <v>21</v>
      </c>
      <c r="C111" t="s">
        <v>392</v>
      </c>
      <c r="D111" t="s">
        <v>6</v>
      </c>
      <c r="E111" t="s">
        <v>380</v>
      </c>
      <c r="F111" s="2" t="s">
        <v>3</v>
      </c>
      <c r="G111" s="2">
        <v>0</v>
      </c>
      <c r="H111" s="2">
        <v>5</v>
      </c>
      <c r="I111" t="s">
        <v>388</v>
      </c>
      <c r="J111" t="s">
        <v>432</v>
      </c>
      <c r="K111" t="s">
        <v>552</v>
      </c>
      <c r="L111" t="s">
        <v>558</v>
      </c>
    </row>
    <row r="112" spans="1:12" x14ac:dyDescent="0.25">
      <c r="A112">
        <v>11950</v>
      </c>
      <c r="B112" t="s">
        <v>161</v>
      </c>
      <c r="C112" t="s">
        <v>124</v>
      </c>
      <c r="D112" t="s">
        <v>423</v>
      </c>
      <c r="E112" t="s">
        <v>380</v>
      </c>
      <c r="F112" s="2" t="s">
        <v>3</v>
      </c>
      <c r="G112" s="2">
        <v>0</v>
      </c>
      <c r="H112" s="2">
        <v>6</v>
      </c>
      <c r="I112" t="s">
        <v>389</v>
      </c>
      <c r="J112" t="s">
        <v>432</v>
      </c>
      <c r="K112" t="s">
        <v>553</v>
      </c>
      <c r="L112" t="s">
        <v>558</v>
      </c>
    </row>
    <row r="113" spans="1:14" x14ac:dyDescent="0.25">
      <c r="A113">
        <v>11900</v>
      </c>
      <c r="B113" t="s">
        <v>159</v>
      </c>
      <c r="C113" t="s">
        <v>124</v>
      </c>
      <c r="D113" t="s">
        <v>423</v>
      </c>
      <c r="E113" t="s">
        <v>380</v>
      </c>
      <c r="F113" s="2" t="s">
        <v>3</v>
      </c>
      <c r="G113" s="2">
        <v>0</v>
      </c>
      <c r="H113" s="2">
        <v>8</v>
      </c>
      <c r="I113" t="s">
        <v>389</v>
      </c>
      <c r="J113" t="s">
        <v>432</v>
      </c>
      <c r="K113" t="s">
        <v>554</v>
      </c>
      <c r="L113" t="s">
        <v>558</v>
      </c>
    </row>
    <row r="114" spans="1:14" x14ac:dyDescent="0.25">
      <c r="A114">
        <v>15400</v>
      </c>
      <c r="B114" t="s">
        <v>173</v>
      </c>
      <c r="C114" t="s">
        <v>425</v>
      </c>
      <c r="D114" t="s">
        <v>6</v>
      </c>
      <c r="E114" t="s">
        <v>380</v>
      </c>
      <c r="F114" s="2" t="s">
        <v>3</v>
      </c>
      <c r="G114" s="2">
        <v>0</v>
      </c>
      <c r="H114" s="2">
        <v>4</v>
      </c>
      <c r="I114" t="s">
        <v>388</v>
      </c>
      <c r="J114" t="s">
        <v>428</v>
      </c>
      <c r="K114" t="s">
        <v>435</v>
      </c>
      <c r="L114" t="s">
        <v>556</v>
      </c>
      <c r="M114" t="e">
        <v>#N/A</v>
      </c>
      <c r="N114" t="s">
        <v>561</v>
      </c>
    </row>
    <row r="115" spans="1:14" x14ac:dyDescent="0.25">
      <c r="A115">
        <v>15361</v>
      </c>
      <c r="B115" t="s">
        <v>172</v>
      </c>
      <c r="C115" t="s">
        <v>425</v>
      </c>
      <c r="D115" t="s">
        <v>6</v>
      </c>
      <c r="E115" t="s">
        <v>380</v>
      </c>
      <c r="F115" s="2" t="s">
        <v>3</v>
      </c>
      <c r="G115" s="2">
        <v>0</v>
      </c>
      <c r="H115" s="2">
        <v>4</v>
      </c>
      <c r="I115" t="s">
        <v>388</v>
      </c>
      <c r="J115" t="s">
        <v>428</v>
      </c>
      <c r="K115" t="s">
        <v>435</v>
      </c>
      <c r="L115" t="s">
        <v>556</v>
      </c>
      <c r="M115" t="e">
        <v>#N/A</v>
      </c>
      <c r="N115" t="s">
        <v>561</v>
      </c>
    </row>
    <row r="116" spans="1:14" x14ac:dyDescent="0.25">
      <c r="A116">
        <v>17500</v>
      </c>
      <c r="B116" t="s">
        <v>176</v>
      </c>
      <c r="C116" t="s">
        <v>421</v>
      </c>
      <c r="D116" t="s">
        <v>165</v>
      </c>
      <c r="E116" t="s">
        <v>380</v>
      </c>
      <c r="F116" s="2" t="s">
        <v>3</v>
      </c>
      <c r="G116" s="2">
        <v>0</v>
      </c>
      <c r="H116" s="2">
        <v>7</v>
      </c>
      <c r="I116" t="s">
        <v>388</v>
      </c>
      <c r="J116" t="s">
        <v>428</v>
      </c>
      <c r="K116" t="s">
        <v>443</v>
      </c>
      <c r="L116" t="s">
        <v>556</v>
      </c>
      <c r="M116" t="e">
        <v>#N/A</v>
      </c>
      <c r="N116" t="s">
        <v>561</v>
      </c>
    </row>
    <row r="117" spans="1:14" x14ac:dyDescent="0.25">
      <c r="A117">
        <v>17514</v>
      </c>
      <c r="B117" t="s">
        <v>179</v>
      </c>
      <c r="C117" t="s">
        <v>421</v>
      </c>
      <c r="D117" t="s">
        <v>165</v>
      </c>
      <c r="E117" t="s">
        <v>380</v>
      </c>
      <c r="F117" s="2" t="s">
        <v>3</v>
      </c>
      <c r="G117" s="7">
        <v>44319</v>
      </c>
      <c r="H117" s="2">
        <v>4</v>
      </c>
      <c r="I117" t="s">
        <v>388</v>
      </c>
      <c r="J117" t="s">
        <v>428</v>
      </c>
      <c r="K117" t="s">
        <v>443</v>
      </c>
      <c r="L117" t="s">
        <v>556</v>
      </c>
      <c r="M117" t="e">
        <v>#N/A</v>
      </c>
      <c r="N117" t="s">
        <v>561</v>
      </c>
    </row>
    <row r="118" spans="1:14" x14ac:dyDescent="0.25">
      <c r="A118">
        <v>17513</v>
      </c>
      <c r="B118" t="s">
        <v>178</v>
      </c>
      <c r="C118" t="s">
        <v>421</v>
      </c>
      <c r="D118" t="s">
        <v>165</v>
      </c>
      <c r="E118" t="s">
        <v>380</v>
      </c>
      <c r="F118" s="2" t="s">
        <v>3</v>
      </c>
      <c r="G118" s="7">
        <v>44319</v>
      </c>
      <c r="H118" s="2">
        <v>3</v>
      </c>
      <c r="I118" t="s">
        <v>388</v>
      </c>
      <c r="J118" t="s">
        <v>428</v>
      </c>
      <c r="K118" t="s">
        <v>443</v>
      </c>
      <c r="L118" t="s">
        <v>556</v>
      </c>
      <c r="M118" t="e">
        <v>#N/A</v>
      </c>
      <c r="N118" t="s">
        <v>561</v>
      </c>
    </row>
    <row r="119" spans="1:14" x14ac:dyDescent="0.25">
      <c r="A119">
        <v>4900</v>
      </c>
      <c r="B119" t="s">
        <v>98</v>
      </c>
      <c r="C119" t="s">
        <v>373</v>
      </c>
      <c r="D119" t="s">
        <v>13</v>
      </c>
      <c r="E119" t="s">
        <v>380</v>
      </c>
      <c r="F119" s="2" t="s">
        <v>3</v>
      </c>
      <c r="G119" s="2">
        <v>0</v>
      </c>
      <c r="H119" s="2">
        <v>7</v>
      </c>
      <c r="I119" t="s">
        <v>388</v>
      </c>
      <c r="J119" t="s">
        <v>428</v>
      </c>
      <c r="K119" t="s">
        <v>444</v>
      </c>
      <c r="L119" t="s">
        <v>556</v>
      </c>
      <c r="M119" t="e">
        <v>#N/A</v>
      </c>
      <c r="N119" t="s">
        <v>561</v>
      </c>
    </row>
    <row r="120" spans="1:14" x14ac:dyDescent="0.25">
      <c r="A120">
        <v>45017</v>
      </c>
      <c r="B120" t="s">
        <v>254</v>
      </c>
      <c r="C120" t="s">
        <v>373</v>
      </c>
      <c r="D120" t="s">
        <v>13</v>
      </c>
      <c r="E120" t="s">
        <v>380</v>
      </c>
      <c r="F120" s="2" t="s">
        <v>3</v>
      </c>
      <c r="G120" s="2">
        <v>0</v>
      </c>
      <c r="H120" s="2">
        <v>5</v>
      </c>
      <c r="I120" t="s">
        <v>388</v>
      </c>
      <c r="J120" t="s">
        <v>428</v>
      </c>
      <c r="K120" t="s">
        <v>444</v>
      </c>
      <c r="L120" t="s">
        <v>556</v>
      </c>
      <c r="M120" t="e">
        <v>#N/A</v>
      </c>
      <c r="N120" t="s">
        <v>561</v>
      </c>
    </row>
    <row r="121" spans="1:14" x14ac:dyDescent="0.25">
      <c r="A121">
        <v>1402</v>
      </c>
      <c r="B121" t="s">
        <v>8</v>
      </c>
      <c r="C121" t="s">
        <v>416</v>
      </c>
      <c r="D121" t="s">
        <v>13</v>
      </c>
      <c r="E121" t="s">
        <v>380</v>
      </c>
      <c r="F121" s="2" t="s">
        <v>3</v>
      </c>
      <c r="G121" s="2">
        <v>0</v>
      </c>
      <c r="H121" s="2">
        <v>6</v>
      </c>
      <c r="I121" t="s">
        <v>388</v>
      </c>
      <c r="J121" t="s">
        <v>428</v>
      </c>
      <c r="K121" t="s">
        <v>455</v>
      </c>
      <c r="L121" t="s">
        <v>556</v>
      </c>
      <c r="M121" t="e">
        <v>#N/A</v>
      </c>
      <c r="N121" t="s">
        <v>561</v>
      </c>
    </row>
    <row r="122" spans="1:14" x14ac:dyDescent="0.25">
      <c r="A122">
        <v>1458</v>
      </c>
      <c r="B122" t="s">
        <v>61</v>
      </c>
      <c r="C122" t="s">
        <v>416</v>
      </c>
      <c r="D122" t="s">
        <v>13</v>
      </c>
      <c r="E122" t="s">
        <v>380</v>
      </c>
      <c r="F122" s="2" t="s">
        <v>3</v>
      </c>
      <c r="G122" s="2">
        <v>0</v>
      </c>
      <c r="H122" s="2">
        <v>4</v>
      </c>
      <c r="I122" t="s">
        <v>388</v>
      </c>
      <c r="J122" t="s">
        <v>428</v>
      </c>
      <c r="K122" t="s">
        <v>455</v>
      </c>
      <c r="L122" t="s">
        <v>556</v>
      </c>
      <c r="M122" t="e">
        <v>#N/A</v>
      </c>
      <c r="N122" t="s">
        <v>561</v>
      </c>
    </row>
    <row r="123" spans="1:14" x14ac:dyDescent="0.25">
      <c r="A123">
        <v>9366</v>
      </c>
      <c r="B123" t="s">
        <v>126</v>
      </c>
      <c r="C123" t="s">
        <v>368</v>
      </c>
      <c r="D123" t="s">
        <v>13</v>
      </c>
      <c r="E123" t="s">
        <v>380</v>
      </c>
      <c r="F123" s="2" t="s">
        <v>3</v>
      </c>
      <c r="G123" s="7">
        <v>44214</v>
      </c>
      <c r="H123" s="2">
        <v>3</v>
      </c>
      <c r="I123" t="s">
        <v>388</v>
      </c>
      <c r="J123" t="s">
        <v>428</v>
      </c>
      <c r="K123" t="s">
        <v>472</v>
      </c>
      <c r="L123" t="s">
        <v>556</v>
      </c>
      <c r="M123" t="e">
        <v>#N/A</v>
      </c>
      <c r="N123" t="s">
        <v>561</v>
      </c>
    </row>
    <row r="124" spans="1:14" x14ac:dyDescent="0.25">
      <c r="A124">
        <v>90900</v>
      </c>
      <c r="B124" t="s">
        <v>317</v>
      </c>
      <c r="C124" t="s">
        <v>368</v>
      </c>
      <c r="D124" t="s">
        <v>13</v>
      </c>
      <c r="E124" t="s">
        <v>380</v>
      </c>
      <c r="F124" s="2" t="s">
        <v>3</v>
      </c>
      <c r="G124" s="2">
        <v>0</v>
      </c>
      <c r="H124" s="2">
        <v>6</v>
      </c>
      <c r="I124" t="s">
        <v>388</v>
      </c>
      <c r="J124" t="s">
        <v>428</v>
      </c>
      <c r="K124" t="s">
        <v>472</v>
      </c>
      <c r="L124" t="s">
        <v>556</v>
      </c>
      <c r="M124" t="e">
        <v>#N/A</v>
      </c>
      <c r="N124" t="s">
        <v>561</v>
      </c>
    </row>
    <row r="125" spans="1:14" x14ac:dyDescent="0.25">
      <c r="A125">
        <v>9370</v>
      </c>
      <c r="B125" t="s">
        <v>130</v>
      </c>
      <c r="C125" t="s">
        <v>368</v>
      </c>
      <c r="D125" t="s">
        <v>13</v>
      </c>
      <c r="E125" t="s">
        <v>380</v>
      </c>
      <c r="F125" s="2" t="s">
        <v>3</v>
      </c>
      <c r="G125" s="7">
        <v>44270</v>
      </c>
      <c r="H125" s="2">
        <v>3</v>
      </c>
      <c r="I125" t="s">
        <v>388</v>
      </c>
      <c r="J125" t="s">
        <v>428</v>
      </c>
      <c r="K125" t="s">
        <v>472</v>
      </c>
      <c r="L125" t="s">
        <v>556</v>
      </c>
      <c r="M125" t="e">
        <v>#N/A</v>
      </c>
      <c r="N125" t="s">
        <v>561</v>
      </c>
    </row>
    <row r="126" spans="1:14" x14ac:dyDescent="0.25">
      <c r="A126">
        <v>9368</v>
      </c>
      <c r="B126" t="s">
        <v>128</v>
      </c>
      <c r="C126" t="s">
        <v>368</v>
      </c>
      <c r="D126" t="s">
        <v>13</v>
      </c>
      <c r="E126" t="s">
        <v>380</v>
      </c>
      <c r="F126" s="2" t="s">
        <v>3</v>
      </c>
      <c r="G126" s="7">
        <v>44230</v>
      </c>
      <c r="H126" s="2">
        <v>4</v>
      </c>
      <c r="I126" t="s">
        <v>388</v>
      </c>
      <c r="J126" t="s">
        <v>428</v>
      </c>
      <c r="K126" t="s">
        <v>472</v>
      </c>
      <c r="L126" t="s">
        <v>556</v>
      </c>
      <c r="M126" t="e">
        <v>#N/A</v>
      </c>
      <c r="N126" t="s">
        <v>561</v>
      </c>
    </row>
    <row r="127" spans="1:14" x14ac:dyDescent="0.25">
      <c r="A127">
        <v>15002</v>
      </c>
      <c r="B127" t="s">
        <v>170</v>
      </c>
      <c r="C127" t="s">
        <v>425</v>
      </c>
      <c r="D127" t="s">
        <v>6</v>
      </c>
      <c r="E127" t="s">
        <v>380</v>
      </c>
      <c r="F127" s="2" t="s">
        <v>3</v>
      </c>
      <c r="G127" s="2">
        <v>0</v>
      </c>
      <c r="H127" s="2">
        <v>13</v>
      </c>
      <c r="I127" t="s">
        <v>388</v>
      </c>
      <c r="J127" t="s">
        <v>428</v>
      </c>
      <c r="K127" t="s">
        <v>474</v>
      </c>
      <c r="L127" t="s">
        <v>556</v>
      </c>
      <c r="M127" t="e">
        <v>#N/A</v>
      </c>
      <c r="N127" t="s">
        <v>561</v>
      </c>
    </row>
    <row r="128" spans="1:14" x14ac:dyDescent="0.25">
      <c r="A128">
        <v>17207</v>
      </c>
      <c r="B128" t="s">
        <v>174</v>
      </c>
      <c r="C128" t="s">
        <v>425</v>
      </c>
      <c r="D128" t="s">
        <v>6</v>
      </c>
      <c r="E128" t="s">
        <v>380</v>
      </c>
      <c r="F128" s="2" t="s">
        <v>3</v>
      </c>
      <c r="G128" s="2">
        <v>0</v>
      </c>
      <c r="H128" s="2">
        <v>6</v>
      </c>
      <c r="I128" t="s">
        <v>388</v>
      </c>
      <c r="J128" t="s">
        <v>428</v>
      </c>
      <c r="K128" t="s">
        <v>474</v>
      </c>
      <c r="L128" t="s">
        <v>556</v>
      </c>
      <c r="M128" t="e">
        <v>#N/A</v>
      </c>
      <c r="N128" t="s">
        <v>561</v>
      </c>
    </row>
    <row r="129" spans="1:14" x14ac:dyDescent="0.25">
      <c r="A129">
        <v>50734</v>
      </c>
      <c r="B129" t="s">
        <v>271</v>
      </c>
      <c r="C129" t="s">
        <v>363</v>
      </c>
      <c r="D129" t="s">
        <v>101</v>
      </c>
      <c r="E129" t="s">
        <v>380</v>
      </c>
      <c r="F129" s="2" t="s">
        <v>3</v>
      </c>
      <c r="G129" s="2">
        <v>0</v>
      </c>
      <c r="H129" s="2">
        <v>5</v>
      </c>
      <c r="I129" t="s">
        <v>388</v>
      </c>
      <c r="J129" t="s">
        <v>428</v>
      </c>
      <c r="K129" t="s">
        <v>479</v>
      </c>
      <c r="L129" t="s">
        <v>556</v>
      </c>
      <c r="M129" t="e">
        <v>#N/A</v>
      </c>
      <c r="N129" t="s">
        <v>561</v>
      </c>
    </row>
    <row r="130" spans="1:14" x14ac:dyDescent="0.25">
      <c r="A130">
        <v>600055</v>
      </c>
      <c r="B130" t="s">
        <v>334</v>
      </c>
      <c r="C130" t="s">
        <v>363</v>
      </c>
      <c r="D130" t="s">
        <v>101</v>
      </c>
      <c r="E130" t="s">
        <v>382</v>
      </c>
      <c r="F130" s="2" t="s">
        <v>3</v>
      </c>
      <c r="G130" s="7">
        <v>44579</v>
      </c>
      <c r="H130" s="2">
        <v>3</v>
      </c>
      <c r="I130" t="s">
        <v>388</v>
      </c>
      <c r="J130" t="s">
        <v>428</v>
      </c>
      <c r="K130" t="s">
        <v>479</v>
      </c>
      <c r="L130" t="s">
        <v>556</v>
      </c>
      <c r="M130" t="e">
        <v>#N/A</v>
      </c>
      <c r="N130" t="s">
        <v>561</v>
      </c>
    </row>
    <row r="131" spans="1:14" x14ac:dyDescent="0.25">
      <c r="A131">
        <v>1423</v>
      </c>
      <c r="B131" t="s">
        <v>36</v>
      </c>
      <c r="C131" t="s">
        <v>418</v>
      </c>
      <c r="D131" t="s">
        <v>18</v>
      </c>
      <c r="E131" t="s">
        <v>380</v>
      </c>
      <c r="F131" s="2" t="s">
        <v>427</v>
      </c>
      <c r="G131" s="2">
        <v>0</v>
      </c>
      <c r="H131" s="2">
        <v>5</v>
      </c>
      <c r="I131" t="s">
        <v>388</v>
      </c>
      <c r="J131" t="s">
        <v>428</v>
      </c>
      <c r="K131" t="s">
        <v>480</v>
      </c>
      <c r="L131" t="s">
        <v>556</v>
      </c>
      <c r="M131" t="e">
        <v>#N/A</v>
      </c>
      <c r="N131" t="s">
        <v>561</v>
      </c>
    </row>
    <row r="132" spans="1:14" x14ac:dyDescent="0.25">
      <c r="A132">
        <v>1494</v>
      </c>
      <c r="B132" t="s">
        <v>74</v>
      </c>
      <c r="C132" t="s">
        <v>418</v>
      </c>
      <c r="D132" t="s">
        <v>18</v>
      </c>
      <c r="E132" t="s">
        <v>380</v>
      </c>
      <c r="F132" s="2" t="s">
        <v>3</v>
      </c>
      <c r="G132" s="2">
        <v>0</v>
      </c>
      <c r="H132" s="2">
        <v>6</v>
      </c>
      <c r="I132" t="s">
        <v>388</v>
      </c>
      <c r="J132" t="s">
        <v>428</v>
      </c>
      <c r="K132" t="s">
        <v>480</v>
      </c>
      <c r="L132" t="s">
        <v>556</v>
      </c>
      <c r="M132" t="e">
        <v>#N/A</v>
      </c>
      <c r="N132" t="s">
        <v>561</v>
      </c>
    </row>
    <row r="133" spans="1:14" x14ac:dyDescent="0.25">
      <c r="A133">
        <v>81075</v>
      </c>
      <c r="B133" t="s">
        <v>316</v>
      </c>
      <c r="C133" t="s">
        <v>420</v>
      </c>
      <c r="D133" t="s">
        <v>122</v>
      </c>
      <c r="E133" t="s">
        <v>380</v>
      </c>
      <c r="F133" s="2" t="s">
        <v>384</v>
      </c>
      <c r="G133" s="7">
        <v>44704</v>
      </c>
      <c r="H133" s="2">
        <v>4</v>
      </c>
      <c r="I133" t="s">
        <v>389</v>
      </c>
      <c r="J133" t="s">
        <v>428</v>
      </c>
      <c r="K133" t="s">
        <v>483</v>
      </c>
      <c r="L133" t="s">
        <v>556</v>
      </c>
      <c r="M133" t="e">
        <v>#N/A</v>
      </c>
      <c r="N133" t="s">
        <v>561</v>
      </c>
    </row>
    <row r="134" spans="1:14" x14ac:dyDescent="0.25">
      <c r="A134">
        <v>18900</v>
      </c>
      <c r="B134" t="s">
        <v>182</v>
      </c>
      <c r="C134" t="s">
        <v>420</v>
      </c>
      <c r="D134" t="s">
        <v>122</v>
      </c>
      <c r="E134" t="s">
        <v>380</v>
      </c>
      <c r="F134" s="2" t="s">
        <v>3</v>
      </c>
      <c r="G134" s="2">
        <v>0</v>
      </c>
      <c r="H134" s="2">
        <v>6</v>
      </c>
      <c r="I134" t="s">
        <v>389</v>
      </c>
      <c r="J134" t="s">
        <v>428</v>
      </c>
      <c r="K134" t="s">
        <v>483</v>
      </c>
      <c r="L134" t="s">
        <v>556</v>
      </c>
      <c r="M134" t="e">
        <v>#N/A</v>
      </c>
      <c r="N134" t="s">
        <v>561</v>
      </c>
    </row>
    <row r="135" spans="1:14" x14ac:dyDescent="0.25">
      <c r="A135">
        <v>18937</v>
      </c>
      <c r="B135" t="s">
        <v>185</v>
      </c>
      <c r="C135" t="s">
        <v>420</v>
      </c>
      <c r="D135" t="s">
        <v>122</v>
      </c>
      <c r="E135" t="s">
        <v>380</v>
      </c>
      <c r="F135" s="2" t="s">
        <v>3</v>
      </c>
      <c r="G135" s="7">
        <v>44419</v>
      </c>
      <c r="H135" s="2">
        <v>4</v>
      </c>
      <c r="I135" t="s">
        <v>389</v>
      </c>
      <c r="J135" t="s">
        <v>428</v>
      </c>
      <c r="K135" t="s">
        <v>483</v>
      </c>
      <c r="L135" t="s">
        <v>556</v>
      </c>
      <c r="M135" t="e">
        <v>#N/A</v>
      </c>
      <c r="N135" t="s">
        <v>561</v>
      </c>
    </row>
    <row r="136" spans="1:14" x14ac:dyDescent="0.25">
      <c r="A136">
        <v>3800</v>
      </c>
      <c r="B136" t="s">
        <v>89</v>
      </c>
      <c r="C136" t="s">
        <v>367</v>
      </c>
      <c r="D136" t="s">
        <v>7</v>
      </c>
      <c r="E136" t="s">
        <v>380</v>
      </c>
      <c r="F136" s="2" t="s">
        <v>3</v>
      </c>
      <c r="G136" s="2">
        <v>0</v>
      </c>
      <c r="H136" s="2">
        <v>4</v>
      </c>
      <c r="I136" t="s">
        <v>389</v>
      </c>
      <c r="J136" t="s">
        <v>428</v>
      </c>
      <c r="K136" t="s">
        <v>495</v>
      </c>
      <c r="L136" t="s">
        <v>556</v>
      </c>
      <c r="M136" t="e">
        <v>#N/A</v>
      </c>
      <c r="N136" t="s">
        <v>561</v>
      </c>
    </row>
    <row r="137" spans="1:14" x14ac:dyDescent="0.25">
      <c r="A137">
        <v>3827</v>
      </c>
      <c r="B137" t="s">
        <v>96</v>
      </c>
      <c r="C137" t="s">
        <v>367</v>
      </c>
      <c r="D137" t="s">
        <v>7</v>
      </c>
      <c r="E137" t="s">
        <v>380</v>
      </c>
      <c r="F137" s="2" t="s">
        <v>3</v>
      </c>
      <c r="G137" s="2">
        <v>0</v>
      </c>
      <c r="H137" s="2">
        <v>4</v>
      </c>
      <c r="I137" t="s">
        <v>389</v>
      </c>
      <c r="J137" t="s">
        <v>428</v>
      </c>
      <c r="K137" t="s">
        <v>495</v>
      </c>
      <c r="L137" t="s">
        <v>556</v>
      </c>
      <c r="M137" t="e">
        <v>#N/A</v>
      </c>
      <c r="N137" t="s">
        <v>561</v>
      </c>
    </row>
    <row r="138" spans="1:14" x14ac:dyDescent="0.25">
      <c r="A138">
        <v>14900</v>
      </c>
      <c r="B138" t="s">
        <v>168</v>
      </c>
      <c r="C138" t="s">
        <v>420</v>
      </c>
      <c r="D138" t="s">
        <v>122</v>
      </c>
      <c r="E138" t="s">
        <v>380</v>
      </c>
      <c r="F138" s="2" t="s">
        <v>3</v>
      </c>
      <c r="G138" s="2">
        <v>0</v>
      </c>
      <c r="H138" s="2">
        <v>5</v>
      </c>
      <c r="I138" t="s">
        <v>389</v>
      </c>
      <c r="J138" t="s">
        <v>428</v>
      </c>
      <c r="K138" t="s">
        <v>497</v>
      </c>
      <c r="L138" t="s">
        <v>556</v>
      </c>
      <c r="M138" t="e">
        <v>#N/A</v>
      </c>
      <c r="N138" t="s">
        <v>561</v>
      </c>
    </row>
    <row r="139" spans="1:14" x14ac:dyDescent="0.25">
      <c r="A139">
        <v>14932</v>
      </c>
      <c r="B139" t="s">
        <v>169</v>
      </c>
      <c r="C139" t="s">
        <v>420</v>
      </c>
      <c r="D139" t="s">
        <v>122</v>
      </c>
      <c r="E139" t="s">
        <v>380</v>
      </c>
      <c r="F139" s="2" t="s">
        <v>3</v>
      </c>
      <c r="G139" s="2">
        <v>0</v>
      </c>
      <c r="H139" s="2">
        <v>4</v>
      </c>
      <c r="I139" t="s">
        <v>389</v>
      </c>
      <c r="J139" t="s">
        <v>428</v>
      </c>
      <c r="K139" t="s">
        <v>497</v>
      </c>
      <c r="L139" t="s">
        <v>556</v>
      </c>
      <c r="M139" t="e">
        <v>#N/A</v>
      </c>
      <c r="N139" t="s">
        <v>561</v>
      </c>
    </row>
    <row r="140" spans="1:14" x14ac:dyDescent="0.25">
      <c r="A140">
        <v>1476</v>
      </c>
      <c r="B140" t="s">
        <v>63</v>
      </c>
      <c r="C140" t="s">
        <v>416</v>
      </c>
      <c r="D140" t="s">
        <v>13</v>
      </c>
      <c r="E140" t="s">
        <v>380</v>
      </c>
      <c r="F140" s="2" t="s">
        <v>3</v>
      </c>
      <c r="G140" s="2">
        <v>0</v>
      </c>
      <c r="H140" s="2">
        <v>6</v>
      </c>
      <c r="I140" t="s">
        <v>388</v>
      </c>
      <c r="J140" t="s">
        <v>428</v>
      </c>
      <c r="K140" t="s">
        <v>500</v>
      </c>
      <c r="L140" t="s">
        <v>556</v>
      </c>
      <c r="M140" t="e">
        <v>#N/A</v>
      </c>
      <c r="N140" t="s">
        <v>561</v>
      </c>
    </row>
    <row r="141" spans="1:14" x14ac:dyDescent="0.25">
      <c r="A141">
        <v>10678</v>
      </c>
      <c r="B141" t="s">
        <v>154</v>
      </c>
      <c r="C141" t="s">
        <v>416</v>
      </c>
      <c r="D141" t="s">
        <v>13</v>
      </c>
      <c r="E141" t="s">
        <v>380</v>
      </c>
      <c r="F141" s="2" t="s">
        <v>3</v>
      </c>
      <c r="G141" s="2">
        <v>0</v>
      </c>
      <c r="H141" s="2">
        <v>5</v>
      </c>
      <c r="I141" t="s">
        <v>388</v>
      </c>
      <c r="J141" t="s">
        <v>428</v>
      </c>
      <c r="K141" t="s">
        <v>500</v>
      </c>
      <c r="L141" t="s">
        <v>556</v>
      </c>
      <c r="M141" t="e">
        <v>#N/A</v>
      </c>
      <c r="N141" t="s">
        <v>561</v>
      </c>
    </row>
    <row r="142" spans="1:14" x14ac:dyDescent="0.25">
      <c r="A142">
        <v>19777</v>
      </c>
      <c r="B142" t="s">
        <v>201</v>
      </c>
      <c r="C142" t="s">
        <v>418</v>
      </c>
      <c r="D142" t="s">
        <v>18</v>
      </c>
      <c r="E142" t="s">
        <v>380</v>
      </c>
      <c r="F142" s="2" t="s">
        <v>3</v>
      </c>
      <c r="G142" s="2">
        <v>0</v>
      </c>
      <c r="H142" s="2">
        <v>5</v>
      </c>
      <c r="I142" t="s">
        <v>388</v>
      </c>
      <c r="J142" t="s">
        <v>428</v>
      </c>
      <c r="K142" t="s">
        <v>507</v>
      </c>
      <c r="L142" t="s">
        <v>556</v>
      </c>
      <c r="M142" t="e">
        <v>#N/A</v>
      </c>
      <c r="N142" t="s">
        <v>561</v>
      </c>
    </row>
    <row r="143" spans="1:14" x14ac:dyDescent="0.25">
      <c r="A143">
        <v>10333</v>
      </c>
      <c r="B143" t="s">
        <v>142</v>
      </c>
      <c r="C143" t="s">
        <v>419</v>
      </c>
      <c r="D143" t="s">
        <v>79</v>
      </c>
      <c r="E143" t="s">
        <v>380</v>
      </c>
      <c r="F143" s="2" t="s">
        <v>3</v>
      </c>
      <c r="G143" s="7">
        <v>44082</v>
      </c>
      <c r="H143" s="2">
        <v>5</v>
      </c>
      <c r="I143" t="s">
        <v>389</v>
      </c>
      <c r="J143" t="s">
        <v>428</v>
      </c>
      <c r="K143" t="s">
        <v>507</v>
      </c>
      <c r="L143" t="s">
        <v>556</v>
      </c>
      <c r="M143" t="e">
        <v>#N/A</v>
      </c>
      <c r="N143" t="s">
        <v>561</v>
      </c>
    </row>
    <row r="144" spans="1:14" x14ac:dyDescent="0.25">
      <c r="A144">
        <v>19790</v>
      </c>
      <c r="B144" t="s">
        <v>204</v>
      </c>
      <c r="C144" t="s">
        <v>391</v>
      </c>
      <c r="D144" t="s">
        <v>7</v>
      </c>
      <c r="E144" t="s">
        <v>380</v>
      </c>
      <c r="F144" s="2" t="s">
        <v>3</v>
      </c>
      <c r="G144" s="2">
        <v>0</v>
      </c>
      <c r="H144" s="2">
        <v>3</v>
      </c>
      <c r="I144" t="s">
        <v>388</v>
      </c>
      <c r="J144" t="s">
        <v>428</v>
      </c>
      <c r="K144" t="s">
        <v>431</v>
      </c>
      <c r="L144" t="s">
        <v>556</v>
      </c>
      <c r="M144" t="e">
        <v>#N/A</v>
      </c>
      <c r="N144" t="s">
        <v>561</v>
      </c>
    </row>
    <row r="145" spans="1:14" x14ac:dyDescent="0.25">
      <c r="A145">
        <v>1409</v>
      </c>
      <c r="B145" t="s">
        <v>19</v>
      </c>
      <c r="C145" t="s">
        <v>392</v>
      </c>
      <c r="D145" t="s">
        <v>6</v>
      </c>
      <c r="E145" t="s">
        <v>380</v>
      </c>
      <c r="F145" s="2" t="s">
        <v>3</v>
      </c>
      <c r="G145" s="2">
        <v>0</v>
      </c>
      <c r="H145" s="2">
        <v>7</v>
      </c>
      <c r="I145" t="s">
        <v>388</v>
      </c>
      <c r="J145" t="s">
        <v>428</v>
      </c>
      <c r="K145" t="s">
        <v>431</v>
      </c>
      <c r="L145" t="s">
        <v>556</v>
      </c>
      <c r="M145" t="e">
        <v>#N/A</v>
      </c>
      <c r="N145" t="s">
        <v>561</v>
      </c>
    </row>
    <row r="146" spans="1:14" x14ac:dyDescent="0.25">
      <c r="A146">
        <v>1400</v>
      </c>
      <c r="B146" t="s">
        <v>4</v>
      </c>
      <c r="C146" t="s">
        <v>392</v>
      </c>
      <c r="D146" t="s">
        <v>6</v>
      </c>
      <c r="E146" t="s">
        <v>380</v>
      </c>
      <c r="F146" s="2" t="s">
        <v>3</v>
      </c>
      <c r="G146" s="2">
        <v>0</v>
      </c>
      <c r="H146" s="2">
        <v>9</v>
      </c>
      <c r="I146" t="s">
        <v>388</v>
      </c>
      <c r="J146" t="s">
        <v>428</v>
      </c>
      <c r="K146" t="s">
        <v>431</v>
      </c>
      <c r="L146" t="s">
        <v>556</v>
      </c>
      <c r="M146" t="e">
        <v>#N/A</v>
      </c>
      <c r="N146" t="s">
        <v>561</v>
      </c>
    </row>
    <row r="147" spans="1:14" x14ac:dyDescent="0.25">
      <c r="A147">
        <v>19902</v>
      </c>
      <c r="B147" t="s">
        <v>212</v>
      </c>
      <c r="C147" t="s">
        <v>392</v>
      </c>
      <c r="D147" t="s">
        <v>6</v>
      </c>
      <c r="E147" t="s">
        <v>380</v>
      </c>
      <c r="F147" s="2" t="s">
        <v>3</v>
      </c>
      <c r="G147" s="2">
        <v>0</v>
      </c>
      <c r="H147" s="2">
        <v>5</v>
      </c>
      <c r="I147" t="s">
        <v>388</v>
      </c>
      <c r="J147" t="s">
        <v>428</v>
      </c>
      <c r="K147" t="s">
        <v>431</v>
      </c>
      <c r="L147" t="s">
        <v>556</v>
      </c>
      <c r="M147" t="e">
        <v>#N/A</v>
      </c>
      <c r="N147" t="s">
        <v>561</v>
      </c>
    </row>
    <row r="148" spans="1:14" x14ac:dyDescent="0.25">
      <c r="A148">
        <v>10226</v>
      </c>
      <c r="B148" t="s">
        <v>134</v>
      </c>
      <c r="C148" t="s">
        <v>392</v>
      </c>
      <c r="D148" t="s">
        <v>6</v>
      </c>
      <c r="E148" t="s">
        <v>380</v>
      </c>
      <c r="F148" s="2" t="s">
        <v>3</v>
      </c>
      <c r="G148" s="2">
        <v>0</v>
      </c>
      <c r="H148" s="2">
        <v>5</v>
      </c>
      <c r="I148" t="s">
        <v>388</v>
      </c>
      <c r="J148" t="s">
        <v>428</v>
      </c>
      <c r="K148" t="s">
        <v>431</v>
      </c>
      <c r="L148" t="s">
        <v>556</v>
      </c>
      <c r="M148" t="e">
        <v>#N/A</v>
      </c>
      <c r="N148" t="s">
        <v>561</v>
      </c>
    </row>
    <row r="149" spans="1:14" x14ac:dyDescent="0.25">
      <c r="A149">
        <v>601055</v>
      </c>
      <c r="B149" t="s">
        <v>351</v>
      </c>
      <c r="C149" t="s">
        <v>393</v>
      </c>
      <c r="D149" t="s">
        <v>7</v>
      </c>
      <c r="E149" t="s">
        <v>380</v>
      </c>
      <c r="F149" s="2" t="s">
        <v>3</v>
      </c>
      <c r="G149" s="7">
        <v>44524</v>
      </c>
      <c r="H149" s="2">
        <v>5</v>
      </c>
      <c r="I149" t="s">
        <v>388</v>
      </c>
      <c r="J149" t="s">
        <v>428</v>
      </c>
      <c r="K149" t="s">
        <v>431</v>
      </c>
      <c r="L149" t="s">
        <v>556</v>
      </c>
      <c r="M149" t="e">
        <v>#N/A</v>
      </c>
      <c r="N149" t="s">
        <v>561</v>
      </c>
    </row>
    <row r="150" spans="1:14" x14ac:dyDescent="0.25">
      <c r="A150">
        <v>601050</v>
      </c>
      <c r="B150" t="s">
        <v>349</v>
      </c>
      <c r="C150" t="s">
        <v>393</v>
      </c>
      <c r="D150" t="s">
        <v>7</v>
      </c>
      <c r="E150" t="s">
        <v>380</v>
      </c>
      <c r="F150" s="2" t="s">
        <v>3</v>
      </c>
      <c r="G150" s="7">
        <v>44531</v>
      </c>
      <c r="H150" s="2">
        <v>10</v>
      </c>
      <c r="I150" t="s">
        <v>388</v>
      </c>
      <c r="J150" t="s">
        <v>428</v>
      </c>
      <c r="K150" t="s">
        <v>431</v>
      </c>
      <c r="L150" t="s">
        <v>556</v>
      </c>
      <c r="M150" t="e">
        <v>#N/A</v>
      </c>
      <c r="N150" t="s">
        <v>561</v>
      </c>
    </row>
    <row r="151" spans="1:14" x14ac:dyDescent="0.25">
      <c r="A151">
        <v>81006</v>
      </c>
      <c r="B151" t="s">
        <v>314</v>
      </c>
      <c r="C151" t="s">
        <v>420</v>
      </c>
      <c r="D151" t="s">
        <v>122</v>
      </c>
      <c r="E151" t="s">
        <v>380</v>
      </c>
      <c r="F151" s="2" t="s">
        <v>3</v>
      </c>
      <c r="G151" s="7">
        <v>44285</v>
      </c>
      <c r="H151" s="2">
        <v>3</v>
      </c>
      <c r="I151" t="s">
        <v>389</v>
      </c>
      <c r="J151" t="s">
        <v>428</v>
      </c>
      <c r="K151" t="s">
        <v>512</v>
      </c>
      <c r="L151" t="s">
        <v>556</v>
      </c>
      <c r="M151" t="e">
        <v>#N/A</v>
      </c>
      <c r="N151" t="s">
        <v>561</v>
      </c>
    </row>
    <row r="152" spans="1:14" x14ac:dyDescent="0.25">
      <c r="A152">
        <v>8399</v>
      </c>
      <c r="B152" t="s">
        <v>120</v>
      </c>
      <c r="C152" t="s">
        <v>420</v>
      </c>
      <c r="D152" t="s">
        <v>122</v>
      </c>
      <c r="E152" t="s">
        <v>380</v>
      </c>
      <c r="F152" s="2" t="s">
        <v>3</v>
      </c>
      <c r="G152" s="2">
        <v>0</v>
      </c>
      <c r="H152" s="2">
        <v>8</v>
      </c>
      <c r="I152" t="s">
        <v>389</v>
      </c>
      <c r="J152" t="s">
        <v>428</v>
      </c>
      <c r="K152" t="s">
        <v>512</v>
      </c>
      <c r="L152" t="s">
        <v>556</v>
      </c>
      <c r="M152" t="e">
        <v>#N/A</v>
      </c>
      <c r="N152" t="s">
        <v>561</v>
      </c>
    </row>
    <row r="153" spans="1:14" x14ac:dyDescent="0.25">
      <c r="A153">
        <v>60099</v>
      </c>
      <c r="B153" t="s">
        <v>292</v>
      </c>
      <c r="C153" t="s">
        <v>294</v>
      </c>
      <c r="D153" t="s">
        <v>423</v>
      </c>
      <c r="E153" t="s">
        <v>380</v>
      </c>
      <c r="F153" s="2" t="s">
        <v>3</v>
      </c>
      <c r="G153" s="7">
        <v>44389</v>
      </c>
      <c r="H153" s="2">
        <v>5</v>
      </c>
      <c r="I153" t="s">
        <v>388</v>
      </c>
      <c r="J153" t="s">
        <v>428</v>
      </c>
      <c r="K153" t="s">
        <v>516</v>
      </c>
      <c r="L153" t="s">
        <v>556</v>
      </c>
      <c r="M153" t="e">
        <v>#N/A</v>
      </c>
      <c r="N153" t="s">
        <v>561</v>
      </c>
    </row>
    <row r="154" spans="1:14" x14ac:dyDescent="0.25">
      <c r="A154">
        <v>61045</v>
      </c>
      <c r="B154" t="s">
        <v>310</v>
      </c>
      <c r="C154" t="s">
        <v>294</v>
      </c>
      <c r="D154" t="s">
        <v>423</v>
      </c>
      <c r="E154" t="s">
        <v>380</v>
      </c>
      <c r="F154" s="2" t="s">
        <v>3</v>
      </c>
      <c r="G154" s="7">
        <v>44319</v>
      </c>
      <c r="H154" s="2">
        <v>6</v>
      </c>
      <c r="I154" t="s">
        <v>388</v>
      </c>
      <c r="J154" t="s">
        <v>428</v>
      </c>
      <c r="K154" t="s">
        <v>516</v>
      </c>
      <c r="L154" t="s">
        <v>556</v>
      </c>
      <c r="M154" t="e">
        <v>#N/A</v>
      </c>
      <c r="N154" t="s">
        <v>561</v>
      </c>
    </row>
    <row r="155" spans="1:14" x14ac:dyDescent="0.25">
      <c r="A155">
        <v>60501</v>
      </c>
      <c r="B155" t="s">
        <v>300</v>
      </c>
      <c r="C155" t="s">
        <v>294</v>
      </c>
      <c r="D155" t="s">
        <v>423</v>
      </c>
      <c r="E155" t="s">
        <v>380</v>
      </c>
      <c r="F155" s="2" t="s">
        <v>3</v>
      </c>
      <c r="G155" s="7">
        <v>44361</v>
      </c>
      <c r="H155" s="2">
        <v>7</v>
      </c>
      <c r="I155" t="s">
        <v>388</v>
      </c>
      <c r="J155" t="s">
        <v>428</v>
      </c>
      <c r="K155" t="s">
        <v>516</v>
      </c>
      <c r="L155" t="s">
        <v>556</v>
      </c>
      <c r="M155" t="e">
        <v>#N/A</v>
      </c>
      <c r="N155" t="s">
        <v>561</v>
      </c>
    </row>
    <row r="156" spans="1:14" x14ac:dyDescent="0.25">
      <c r="A156">
        <v>60502</v>
      </c>
      <c r="B156" t="s">
        <v>302</v>
      </c>
      <c r="C156" t="s">
        <v>294</v>
      </c>
      <c r="D156" t="s">
        <v>423</v>
      </c>
      <c r="E156" t="s">
        <v>380</v>
      </c>
      <c r="F156" s="2" t="s">
        <v>3</v>
      </c>
      <c r="G156" s="7">
        <v>44312</v>
      </c>
      <c r="H156" s="2">
        <v>4</v>
      </c>
      <c r="I156" t="s">
        <v>388</v>
      </c>
      <c r="J156" t="s">
        <v>428</v>
      </c>
      <c r="K156" t="s">
        <v>516</v>
      </c>
      <c r="L156" t="s">
        <v>556</v>
      </c>
      <c r="M156" t="e">
        <v>#N/A</v>
      </c>
      <c r="N156" t="s">
        <v>561</v>
      </c>
    </row>
    <row r="157" spans="1:14" x14ac:dyDescent="0.25">
      <c r="A157">
        <v>60900</v>
      </c>
      <c r="B157" t="s">
        <v>307</v>
      </c>
      <c r="C157" t="s">
        <v>294</v>
      </c>
      <c r="D157" t="s">
        <v>423</v>
      </c>
      <c r="E157" t="s">
        <v>380</v>
      </c>
      <c r="F157" s="2" t="s">
        <v>3</v>
      </c>
      <c r="G157" s="2">
        <v>0</v>
      </c>
      <c r="H157" s="2">
        <v>8</v>
      </c>
      <c r="I157" t="s">
        <v>388</v>
      </c>
      <c r="J157" t="s">
        <v>428</v>
      </c>
      <c r="K157" t="s">
        <v>516</v>
      </c>
      <c r="L157" t="s">
        <v>556</v>
      </c>
      <c r="M157" t="e">
        <v>#N/A</v>
      </c>
      <c r="N157" t="s">
        <v>561</v>
      </c>
    </row>
    <row r="158" spans="1:14" x14ac:dyDescent="0.25">
      <c r="A158">
        <v>7747</v>
      </c>
      <c r="B158" t="s">
        <v>110</v>
      </c>
      <c r="C158" t="s">
        <v>112</v>
      </c>
      <c r="D158" t="s">
        <v>122</v>
      </c>
      <c r="E158" t="s">
        <v>380</v>
      </c>
      <c r="F158" s="2" t="s">
        <v>3</v>
      </c>
      <c r="G158" s="2">
        <v>0</v>
      </c>
      <c r="H158" s="2">
        <v>3</v>
      </c>
      <c r="I158" t="s">
        <v>388</v>
      </c>
      <c r="J158" t="s">
        <v>428</v>
      </c>
      <c r="K158" t="s">
        <v>519</v>
      </c>
      <c r="L158" t="s">
        <v>556</v>
      </c>
      <c r="M158" t="e">
        <v>#N/A</v>
      </c>
      <c r="N158" t="s">
        <v>561</v>
      </c>
    </row>
    <row r="159" spans="1:14" x14ac:dyDescent="0.25">
      <c r="A159">
        <v>7800</v>
      </c>
      <c r="B159" t="s">
        <v>371</v>
      </c>
      <c r="C159" t="s">
        <v>112</v>
      </c>
      <c r="D159" t="s">
        <v>122</v>
      </c>
      <c r="E159" t="s">
        <v>380</v>
      </c>
      <c r="F159" s="2" t="s">
        <v>3</v>
      </c>
      <c r="G159" s="2">
        <v>0</v>
      </c>
      <c r="H159" s="2">
        <v>4</v>
      </c>
      <c r="I159" t="s">
        <v>388</v>
      </c>
      <c r="J159" t="s">
        <v>428</v>
      </c>
      <c r="K159" t="s">
        <v>519</v>
      </c>
      <c r="L159" t="s">
        <v>556</v>
      </c>
      <c r="M159" t="e">
        <v>#N/A</v>
      </c>
      <c r="N159" t="s">
        <v>561</v>
      </c>
    </row>
    <row r="160" spans="1:14" x14ac:dyDescent="0.25">
      <c r="A160">
        <v>7748</v>
      </c>
      <c r="B160" t="s">
        <v>113</v>
      </c>
      <c r="C160" t="s">
        <v>112</v>
      </c>
      <c r="D160" t="s">
        <v>122</v>
      </c>
      <c r="E160" t="s">
        <v>380</v>
      </c>
      <c r="F160" s="2" t="s">
        <v>3</v>
      </c>
      <c r="G160" s="2">
        <v>0</v>
      </c>
      <c r="H160" s="2">
        <v>5</v>
      </c>
      <c r="I160" t="s">
        <v>388</v>
      </c>
      <c r="J160" t="s">
        <v>428</v>
      </c>
      <c r="K160" t="s">
        <v>519</v>
      </c>
      <c r="L160" t="s">
        <v>556</v>
      </c>
      <c r="M160" t="e">
        <v>#N/A</v>
      </c>
      <c r="N160" t="s">
        <v>561</v>
      </c>
    </row>
    <row r="161" spans="1:17" x14ac:dyDescent="0.25">
      <c r="A161">
        <v>7900</v>
      </c>
      <c r="B161" t="s">
        <v>118</v>
      </c>
      <c r="C161" t="s">
        <v>112</v>
      </c>
      <c r="D161" t="s">
        <v>122</v>
      </c>
      <c r="E161" t="s">
        <v>380</v>
      </c>
      <c r="F161" s="2" t="s">
        <v>3</v>
      </c>
      <c r="G161" s="2">
        <v>0</v>
      </c>
      <c r="H161" s="2">
        <v>7</v>
      </c>
      <c r="I161" t="s">
        <v>388</v>
      </c>
      <c r="J161" t="s">
        <v>428</v>
      </c>
      <c r="K161" t="s">
        <v>519</v>
      </c>
      <c r="L161" t="s">
        <v>556</v>
      </c>
      <c r="M161" t="e">
        <v>#N/A</v>
      </c>
      <c r="N161" t="s">
        <v>561</v>
      </c>
      <c r="Q161">
        <f>19+44</f>
        <v>63</v>
      </c>
    </row>
    <row r="162" spans="1:17" x14ac:dyDescent="0.25">
      <c r="A162">
        <v>71002</v>
      </c>
      <c r="B162" t="s">
        <v>312</v>
      </c>
      <c r="C162" t="s">
        <v>112</v>
      </c>
      <c r="D162" t="s">
        <v>122</v>
      </c>
      <c r="E162" t="s">
        <v>380</v>
      </c>
      <c r="F162" s="2" t="s">
        <v>3</v>
      </c>
      <c r="G162" s="2">
        <v>0</v>
      </c>
      <c r="H162" s="2">
        <v>6</v>
      </c>
      <c r="I162" t="s">
        <v>388</v>
      </c>
      <c r="J162" t="s">
        <v>428</v>
      </c>
      <c r="K162" t="s">
        <v>519</v>
      </c>
      <c r="L162" t="s">
        <v>556</v>
      </c>
      <c r="M162" t="e">
        <v>#N/A</v>
      </c>
      <c r="N162" t="s">
        <v>561</v>
      </c>
    </row>
    <row r="163" spans="1:17" x14ac:dyDescent="0.25">
      <c r="A163">
        <v>7815</v>
      </c>
      <c r="B163" t="s">
        <v>116</v>
      </c>
      <c r="C163" t="s">
        <v>112</v>
      </c>
      <c r="D163" t="s">
        <v>122</v>
      </c>
      <c r="E163" t="s">
        <v>380</v>
      </c>
      <c r="F163" s="2" t="s">
        <v>3</v>
      </c>
      <c r="G163" s="2">
        <v>0</v>
      </c>
      <c r="H163" s="2">
        <v>3</v>
      </c>
      <c r="I163" t="s">
        <v>388</v>
      </c>
      <c r="J163" t="s">
        <v>428</v>
      </c>
      <c r="K163" t="s">
        <v>519</v>
      </c>
      <c r="L163" t="s">
        <v>556</v>
      </c>
      <c r="M163" t="e">
        <v>#N/A</v>
      </c>
      <c r="N163" t="s">
        <v>561</v>
      </c>
    </row>
    <row r="164" spans="1:17" x14ac:dyDescent="0.25">
      <c r="A164">
        <v>1417</v>
      </c>
      <c r="B164" t="s">
        <v>24</v>
      </c>
      <c r="C164" t="s">
        <v>416</v>
      </c>
      <c r="D164" t="s">
        <v>13</v>
      </c>
      <c r="E164" t="s">
        <v>380</v>
      </c>
      <c r="F164" s="2" t="s">
        <v>3</v>
      </c>
      <c r="G164" s="2">
        <v>0</v>
      </c>
      <c r="H164" s="2">
        <v>5</v>
      </c>
      <c r="I164" t="s">
        <v>388</v>
      </c>
      <c r="J164" t="s">
        <v>428</v>
      </c>
      <c r="K164" t="s">
        <v>534</v>
      </c>
      <c r="L164" t="s">
        <v>556</v>
      </c>
      <c r="M164" t="e">
        <v>#N/A</v>
      </c>
      <c r="N164" t="s">
        <v>561</v>
      </c>
    </row>
    <row r="165" spans="1:17" x14ac:dyDescent="0.25">
      <c r="A165">
        <v>10627</v>
      </c>
      <c r="B165" t="s">
        <v>150</v>
      </c>
      <c r="C165" t="s">
        <v>416</v>
      </c>
      <c r="D165" t="s">
        <v>13</v>
      </c>
      <c r="E165" t="s">
        <v>380</v>
      </c>
      <c r="F165" s="2" t="s">
        <v>3</v>
      </c>
      <c r="G165" s="2">
        <v>0</v>
      </c>
      <c r="H165" s="2">
        <v>5</v>
      </c>
      <c r="I165" t="s">
        <v>388</v>
      </c>
      <c r="J165" t="s">
        <v>428</v>
      </c>
      <c r="K165" t="s">
        <v>534</v>
      </c>
      <c r="L165" t="s">
        <v>556</v>
      </c>
      <c r="M165" t="e">
        <v>#N/A</v>
      </c>
      <c r="N165" t="s">
        <v>561</v>
      </c>
    </row>
    <row r="166" spans="1:17" x14ac:dyDescent="0.25">
      <c r="A166">
        <v>12257</v>
      </c>
      <c r="B166" t="s">
        <v>164</v>
      </c>
      <c r="C166" t="s">
        <v>424</v>
      </c>
      <c r="D166" t="s">
        <v>165</v>
      </c>
      <c r="E166" t="s">
        <v>380</v>
      </c>
      <c r="F166" s="2" t="s">
        <v>3</v>
      </c>
      <c r="G166" s="7">
        <v>44487</v>
      </c>
      <c r="H166" s="2">
        <v>3</v>
      </c>
      <c r="I166" t="s">
        <v>388</v>
      </c>
      <c r="J166" t="s">
        <v>428</v>
      </c>
      <c r="K166" t="s">
        <v>536</v>
      </c>
      <c r="L166" t="s">
        <v>556</v>
      </c>
      <c r="M166" t="e">
        <v>#N/A</v>
      </c>
      <c r="N166" t="s">
        <v>562</v>
      </c>
    </row>
    <row r="167" spans="1:17" x14ac:dyDescent="0.25">
      <c r="A167">
        <v>13900</v>
      </c>
      <c r="B167" t="s">
        <v>166</v>
      </c>
      <c r="C167" t="s">
        <v>424</v>
      </c>
      <c r="D167" t="s">
        <v>165</v>
      </c>
      <c r="E167" t="s">
        <v>380</v>
      </c>
      <c r="F167" s="2" t="s">
        <v>3</v>
      </c>
      <c r="G167" s="2">
        <v>0</v>
      </c>
      <c r="H167" s="2">
        <v>8</v>
      </c>
      <c r="I167" t="s">
        <v>388</v>
      </c>
      <c r="J167" t="s">
        <v>428</v>
      </c>
      <c r="K167" t="s">
        <v>536</v>
      </c>
      <c r="L167" t="s">
        <v>556</v>
      </c>
      <c r="M167" t="e">
        <v>#N/A</v>
      </c>
      <c r="N167" t="s">
        <v>562</v>
      </c>
    </row>
    <row r="168" spans="1:17" x14ac:dyDescent="0.25">
      <c r="A168">
        <v>31382</v>
      </c>
      <c r="B168" t="s">
        <v>245</v>
      </c>
      <c r="C168" t="s">
        <v>424</v>
      </c>
      <c r="D168" t="s">
        <v>165</v>
      </c>
      <c r="E168" t="s">
        <v>380</v>
      </c>
      <c r="F168" s="2" t="s">
        <v>3</v>
      </c>
      <c r="G168" s="7">
        <v>44291</v>
      </c>
      <c r="H168" s="2">
        <v>5</v>
      </c>
      <c r="I168" t="s">
        <v>388</v>
      </c>
      <c r="J168" t="s">
        <v>428</v>
      </c>
      <c r="K168" t="s">
        <v>536</v>
      </c>
      <c r="L168" t="s">
        <v>556</v>
      </c>
      <c r="M168" t="e">
        <v>#N/A</v>
      </c>
      <c r="N168" t="s">
        <v>562</v>
      </c>
    </row>
    <row r="169" spans="1:17" x14ac:dyDescent="0.25">
      <c r="A169">
        <v>5501</v>
      </c>
      <c r="B169" t="s">
        <v>99</v>
      </c>
      <c r="C169" t="s">
        <v>363</v>
      </c>
      <c r="D169" t="s">
        <v>101</v>
      </c>
      <c r="E169" t="s">
        <v>380</v>
      </c>
      <c r="F169" s="2" t="s">
        <v>3</v>
      </c>
      <c r="G169" s="2">
        <v>0</v>
      </c>
      <c r="H169" s="2">
        <v>5</v>
      </c>
      <c r="I169" t="s">
        <v>388</v>
      </c>
      <c r="J169" t="s">
        <v>428</v>
      </c>
      <c r="K169" t="s">
        <v>537</v>
      </c>
      <c r="L169" t="s">
        <v>556</v>
      </c>
      <c r="M169" t="e">
        <v>#N/A</v>
      </c>
      <c r="N169" t="s">
        <v>561</v>
      </c>
    </row>
    <row r="170" spans="1:17" x14ac:dyDescent="0.25">
      <c r="A170">
        <v>52012</v>
      </c>
      <c r="B170" t="s">
        <v>276</v>
      </c>
      <c r="C170" t="s">
        <v>362</v>
      </c>
      <c r="D170" t="s">
        <v>101</v>
      </c>
      <c r="E170" t="s">
        <v>380</v>
      </c>
      <c r="F170" s="2" t="s">
        <v>3</v>
      </c>
      <c r="G170" s="2">
        <v>0</v>
      </c>
      <c r="H170" s="2">
        <v>4</v>
      </c>
      <c r="I170" t="s">
        <v>388</v>
      </c>
      <c r="J170" t="s">
        <v>428</v>
      </c>
      <c r="K170" t="s">
        <v>537</v>
      </c>
      <c r="L170" t="s">
        <v>556</v>
      </c>
      <c r="M170" t="e">
        <v>#N/A</v>
      </c>
      <c r="N170" t="s">
        <v>561</v>
      </c>
    </row>
    <row r="171" spans="1:17" x14ac:dyDescent="0.25">
      <c r="A171">
        <v>5506</v>
      </c>
      <c r="B171" t="s">
        <v>108</v>
      </c>
      <c r="C171" t="s">
        <v>363</v>
      </c>
      <c r="D171" t="s">
        <v>101</v>
      </c>
      <c r="E171" t="s">
        <v>380</v>
      </c>
      <c r="F171" s="2" t="s">
        <v>3</v>
      </c>
      <c r="G171" s="2">
        <v>0</v>
      </c>
      <c r="H171" s="2">
        <v>4</v>
      </c>
      <c r="I171" t="s">
        <v>388</v>
      </c>
      <c r="J171" t="s">
        <v>428</v>
      </c>
      <c r="K171" t="s">
        <v>537</v>
      </c>
      <c r="L171" t="s">
        <v>556</v>
      </c>
      <c r="M171" t="e">
        <v>#N/A</v>
      </c>
      <c r="N171" t="s">
        <v>561</v>
      </c>
    </row>
    <row r="172" spans="1:17" x14ac:dyDescent="0.25">
      <c r="A172">
        <v>1418</v>
      </c>
      <c r="B172" t="s">
        <v>26</v>
      </c>
      <c r="C172" t="s">
        <v>416</v>
      </c>
      <c r="D172" t="s">
        <v>13</v>
      </c>
      <c r="E172" t="s">
        <v>380</v>
      </c>
      <c r="F172" s="2" t="s">
        <v>3</v>
      </c>
      <c r="G172" s="2">
        <v>0</v>
      </c>
      <c r="H172" s="2">
        <v>6</v>
      </c>
      <c r="I172" t="s">
        <v>388</v>
      </c>
      <c r="J172" t="s">
        <v>428</v>
      </c>
      <c r="K172" t="s">
        <v>540</v>
      </c>
      <c r="L172" t="s">
        <v>556</v>
      </c>
      <c r="M172" t="e">
        <v>#N/A</v>
      </c>
      <c r="N172" t="s">
        <v>561</v>
      </c>
    </row>
    <row r="173" spans="1:17" x14ac:dyDescent="0.25">
      <c r="A173">
        <v>1419</v>
      </c>
      <c r="B173" t="s">
        <v>28</v>
      </c>
      <c r="C173" t="s">
        <v>416</v>
      </c>
      <c r="D173" t="s">
        <v>13</v>
      </c>
      <c r="E173" t="s">
        <v>380</v>
      </c>
      <c r="F173" s="2" t="s">
        <v>3</v>
      </c>
      <c r="G173" s="2">
        <v>0</v>
      </c>
      <c r="H173" s="2">
        <v>5</v>
      </c>
      <c r="I173" t="s">
        <v>388</v>
      </c>
      <c r="J173" t="s">
        <v>428</v>
      </c>
      <c r="K173" t="s">
        <v>540</v>
      </c>
      <c r="L173" t="s">
        <v>556</v>
      </c>
      <c r="M173" t="e">
        <v>#N/A</v>
      </c>
      <c r="N173" t="s">
        <v>561</v>
      </c>
    </row>
    <row r="174" spans="1:17" x14ac:dyDescent="0.25">
      <c r="A174">
        <v>20060</v>
      </c>
      <c r="B174" t="s">
        <v>214</v>
      </c>
      <c r="C174" t="s">
        <v>424</v>
      </c>
      <c r="D174" t="s">
        <v>165</v>
      </c>
      <c r="E174" t="s">
        <v>380</v>
      </c>
      <c r="F174" s="2" t="s">
        <v>3</v>
      </c>
      <c r="G174" s="2">
        <v>0</v>
      </c>
      <c r="H174" s="2">
        <v>7</v>
      </c>
      <c r="I174" t="s">
        <v>389</v>
      </c>
      <c r="J174" t="s">
        <v>428</v>
      </c>
      <c r="K174" t="s">
        <v>546</v>
      </c>
      <c r="L174" t="s">
        <v>556</v>
      </c>
      <c r="M174" t="e">
        <v>#N/A</v>
      </c>
      <c r="N174" t="s">
        <v>561</v>
      </c>
    </row>
    <row r="175" spans="1:17" x14ac:dyDescent="0.25">
      <c r="A175">
        <v>20085</v>
      </c>
      <c r="B175" t="s">
        <v>216</v>
      </c>
      <c r="C175" t="s">
        <v>424</v>
      </c>
      <c r="D175" t="s">
        <v>165</v>
      </c>
      <c r="E175" t="s">
        <v>380</v>
      </c>
      <c r="F175" s="2" t="s">
        <v>427</v>
      </c>
      <c r="G175" s="7">
        <v>44161</v>
      </c>
      <c r="H175" s="2">
        <v>7</v>
      </c>
      <c r="I175" t="s">
        <v>389</v>
      </c>
      <c r="J175" t="s">
        <v>428</v>
      </c>
      <c r="K175" t="s">
        <v>546</v>
      </c>
      <c r="L175" t="s">
        <v>556</v>
      </c>
      <c r="M175" t="e">
        <v>#N/A</v>
      </c>
      <c r="N175" t="s">
        <v>561</v>
      </c>
    </row>
    <row r="176" spans="1:17" x14ac:dyDescent="0.25">
      <c r="A176">
        <v>60007</v>
      </c>
      <c r="B176" t="s">
        <v>290</v>
      </c>
      <c r="C176" t="s">
        <v>385</v>
      </c>
      <c r="D176" t="s">
        <v>423</v>
      </c>
      <c r="E176" t="s">
        <v>380</v>
      </c>
      <c r="F176" s="2" t="s">
        <v>3</v>
      </c>
      <c r="G176" s="2">
        <v>0</v>
      </c>
      <c r="H176" s="2">
        <v>6</v>
      </c>
      <c r="I176" t="s">
        <v>388</v>
      </c>
      <c r="J176" t="s">
        <v>428</v>
      </c>
      <c r="K176" t="s">
        <v>555</v>
      </c>
      <c r="L176" t="s">
        <v>556</v>
      </c>
      <c r="M176" t="e">
        <v>#N/A</v>
      </c>
      <c r="N176" t="s">
        <v>561</v>
      </c>
    </row>
    <row r="177" spans="1:14" x14ac:dyDescent="0.25">
      <c r="A177">
        <v>60494</v>
      </c>
      <c r="B177" t="s">
        <v>295</v>
      </c>
      <c r="C177" t="s">
        <v>385</v>
      </c>
      <c r="D177" t="s">
        <v>423</v>
      </c>
      <c r="E177" t="s">
        <v>380</v>
      </c>
      <c r="F177" s="2" t="s">
        <v>3</v>
      </c>
      <c r="G177" s="7">
        <v>44291</v>
      </c>
      <c r="H177" s="2">
        <v>4</v>
      </c>
      <c r="I177" t="s">
        <v>388</v>
      </c>
      <c r="J177" t="s">
        <v>428</v>
      </c>
      <c r="K177" t="s">
        <v>555</v>
      </c>
      <c r="L177" t="s">
        <v>556</v>
      </c>
      <c r="M177" t="e">
        <v>#N/A</v>
      </c>
      <c r="N177" t="s">
        <v>561</v>
      </c>
    </row>
  </sheetData>
  <autoFilter ref="A1:N177" xr:uid="{00000000-0009-0000-0000-000008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13</vt:i4>
      </vt:variant>
    </vt:vector>
  </HeadingPairs>
  <TitlesOfParts>
    <vt:vector size="13" baseType="lpstr">
      <vt:lpstr>Planilha1</vt:lpstr>
      <vt:lpstr>Planilha2</vt:lpstr>
      <vt:lpstr>HIERARQUIA PARA INTENÇÕES</vt:lpstr>
      <vt:lpstr>LOJAS ATIVAS</vt:lpstr>
      <vt:lpstr>EMAIL_LOJAS</vt:lpstr>
      <vt:lpstr>FONE_LOJA</vt:lpstr>
      <vt:lpstr>LOJAS FECHADAS</vt:lpstr>
      <vt:lpstr>CODIGOS_REGIONAIS</vt:lpstr>
      <vt:lpstr>LOJAS EXPANSÃO</vt:lpstr>
      <vt:lpstr>Planilha4</vt:lpstr>
      <vt:lpstr>Planilha6</vt:lpstr>
      <vt:lpstr>NOTEBOOK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Santos Marcanth</dc:creator>
  <cp:lastModifiedBy>Mike Santolin Da Silva</cp:lastModifiedBy>
  <cp:lastPrinted>2022-07-04T11:32:36Z</cp:lastPrinted>
  <dcterms:created xsi:type="dcterms:W3CDTF">2022-02-21T18:20:04Z</dcterms:created>
  <dcterms:modified xsi:type="dcterms:W3CDTF">2026-02-10T16:01:29Z</dcterms:modified>
</cp:coreProperties>
</file>